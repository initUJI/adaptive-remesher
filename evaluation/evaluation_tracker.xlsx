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niDin00\Documents\GitHub\adaptive-remesher\evaluation\"/>
    </mc:Choice>
  </mc:AlternateContent>
  <xr:revisionPtr revIDLastSave="0" documentId="13_ncr:1_{C80CE13C-11F8-4713-961A-EF29D8D5BD7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Legend" sheetId="1" r:id="rId1"/>
    <sheet name="Dataset" sheetId="2" r:id="rId2"/>
    <sheet name="Exp_A_Bidirectional" sheetId="3" r:id="rId3"/>
    <sheet name="Exp_B_Refinement_Ablation" sheetId="4" r:id="rId4"/>
    <sheet name="Exp_C_Masked" sheetId="5" r:id="rId5"/>
    <sheet name="Exp_D_Threshold_Sensitivity" sheetId="6" r:id="rId6"/>
    <sheet name="Exp_E_Reduction_Sensitivity" sheetId="7" r:id="rId7"/>
    <sheet name="Engine_Comparison" sheetId="8" r:id="rId8"/>
    <sheet name="UV_Seam_Detection" sheetId="9" r:id="rId9"/>
    <sheet name="Validity_Checks" sheetId="10" r:id="rId10"/>
    <sheet name="Runtim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1" l="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H29" i="7"/>
  <c r="E29" i="7"/>
  <c r="H28" i="7"/>
  <c r="E28" i="7"/>
  <c r="H27" i="7"/>
  <c r="E27" i="7"/>
  <c r="H26" i="7"/>
  <c r="E26" i="7"/>
  <c r="H25" i="7"/>
  <c r="E25" i="7"/>
  <c r="H24" i="7"/>
  <c r="E24" i="7"/>
  <c r="H23" i="7"/>
  <c r="E23" i="7"/>
  <c r="H22" i="7"/>
  <c r="E22" i="7"/>
  <c r="H21" i="7"/>
  <c r="E21" i="7"/>
  <c r="H20" i="7"/>
  <c r="E20" i="7"/>
  <c r="H19" i="7"/>
  <c r="E19" i="7"/>
  <c r="H18" i="7"/>
  <c r="E18" i="7"/>
  <c r="H17" i="7"/>
  <c r="E17" i="7"/>
  <c r="H16" i="7"/>
  <c r="E16" i="7"/>
  <c r="H15" i="7"/>
  <c r="E15" i="7"/>
  <c r="H14" i="7"/>
  <c r="E14" i="7"/>
  <c r="H13" i="7"/>
  <c r="E13" i="7"/>
  <c r="H12" i="7"/>
  <c r="E12" i="7"/>
  <c r="H11" i="7"/>
  <c r="E11" i="7"/>
  <c r="H10" i="7"/>
  <c r="E10" i="7"/>
  <c r="H9" i="7"/>
  <c r="E9" i="7"/>
  <c r="H8" i="7"/>
  <c r="E8" i="7"/>
  <c r="H7" i="7"/>
  <c r="E7" i="7"/>
  <c r="H6" i="7"/>
  <c r="E6" i="7"/>
  <c r="H5" i="7"/>
  <c r="E5" i="7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R8" i="5"/>
  <c r="O8" i="5"/>
  <c r="G8" i="5"/>
  <c r="E8" i="5"/>
  <c r="R7" i="5"/>
  <c r="O7" i="5"/>
  <c r="G7" i="5"/>
  <c r="E7" i="5"/>
  <c r="R6" i="5"/>
  <c r="O6" i="5"/>
  <c r="G6" i="5"/>
  <c r="E6" i="5"/>
  <c r="R5" i="5"/>
  <c r="O5" i="5"/>
  <c r="G5" i="5"/>
  <c r="E5" i="5"/>
  <c r="S43" i="4"/>
  <c r="T43" i="4" s="1"/>
  <c r="M43" i="4"/>
  <c r="F43" i="4"/>
  <c r="S42" i="4"/>
  <c r="M42" i="4"/>
  <c r="R42" i="4" s="1"/>
  <c r="F42" i="4"/>
  <c r="S41" i="4"/>
  <c r="M41" i="4"/>
  <c r="F41" i="4"/>
  <c r="S40" i="4"/>
  <c r="M40" i="4"/>
  <c r="R40" i="4" s="1"/>
  <c r="F40" i="4"/>
  <c r="S39" i="4"/>
  <c r="T39" i="4" s="1"/>
  <c r="M39" i="4"/>
  <c r="F39" i="4"/>
  <c r="S38" i="4"/>
  <c r="R38" i="4"/>
  <c r="M38" i="4"/>
  <c r="T38" i="4" s="1"/>
  <c r="F38" i="4"/>
  <c r="S37" i="4"/>
  <c r="M37" i="4"/>
  <c r="R37" i="4" s="1"/>
  <c r="F37" i="4"/>
  <c r="S36" i="4"/>
  <c r="R36" i="4"/>
  <c r="M36" i="4"/>
  <c r="F36" i="4"/>
  <c r="S35" i="4"/>
  <c r="M35" i="4"/>
  <c r="R35" i="4" s="1"/>
  <c r="F35" i="4"/>
  <c r="S34" i="4"/>
  <c r="R34" i="4" s="1"/>
  <c r="M34" i="4"/>
  <c r="F34" i="4"/>
  <c r="S33" i="4"/>
  <c r="M33" i="4"/>
  <c r="T33" i="4" s="1"/>
  <c r="F33" i="4"/>
  <c r="S32" i="4"/>
  <c r="R32" i="4" s="1"/>
  <c r="M32" i="4"/>
  <c r="F32" i="4"/>
  <c r="S31" i="4"/>
  <c r="M31" i="4"/>
  <c r="T31" i="4" s="1"/>
  <c r="F31" i="4"/>
  <c r="S30" i="4"/>
  <c r="M30" i="4"/>
  <c r="F30" i="4"/>
  <c r="S29" i="4"/>
  <c r="M29" i="4"/>
  <c r="T29" i="4" s="1"/>
  <c r="F29" i="4"/>
  <c r="S28" i="4"/>
  <c r="M28" i="4"/>
  <c r="T28" i="4" s="1"/>
  <c r="F28" i="4"/>
  <c r="S27" i="4"/>
  <c r="T27" i="4" s="1"/>
  <c r="M27" i="4"/>
  <c r="F27" i="4"/>
  <c r="S26" i="4"/>
  <c r="M26" i="4"/>
  <c r="R26" i="4" s="1"/>
  <c r="F26" i="4"/>
  <c r="S25" i="4"/>
  <c r="M25" i="4"/>
  <c r="F25" i="4"/>
  <c r="S24" i="4"/>
  <c r="R24" i="4" s="1"/>
  <c r="M24" i="4"/>
  <c r="F24" i="4"/>
  <c r="S23" i="4"/>
  <c r="M23" i="4"/>
  <c r="F23" i="4"/>
  <c r="S22" i="4"/>
  <c r="M22" i="4"/>
  <c r="T22" i="4" s="1"/>
  <c r="F22" i="4"/>
  <c r="S21" i="4"/>
  <c r="M21" i="4"/>
  <c r="F21" i="4"/>
  <c r="S20" i="4"/>
  <c r="R20" i="4"/>
  <c r="M20" i="4"/>
  <c r="F20" i="4"/>
  <c r="S19" i="4"/>
  <c r="M19" i="4"/>
  <c r="R19" i="4" s="1"/>
  <c r="F19" i="4"/>
  <c r="S18" i="4"/>
  <c r="M18" i="4"/>
  <c r="R18" i="4" s="1"/>
  <c r="F18" i="4"/>
  <c r="S17" i="4"/>
  <c r="M17" i="4"/>
  <c r="T17" i="4" s="1"/>
  <c r="F17" i="4"/>
  <c r="S16" i="4"/>
  <c r="R16" i="4" s="1"/>
  <c r="M16" i="4"/>
  <c r="F16" i="4"/>
  <c r="S15" i="4"/>
  <c r="M15" i="4"/>
  <c r="F15" i="4"/>
  <c r="S14" i="4"/>
  <c r="T14" i="4" s="1"/>
  <c r="M14" i="4"/>
  <c r="F14" i="4"/>
  <c r="S13" i="4"/>
  <c r="M13" i="4"/>
  <c r="F13" i="4"/>
  <c r="S12" i="4"/>
  <c r="M12" i="4"/>
  <c r="T12" i="4" s="1"/>
  <c r="F12" i="4"/>
  <c r="S11" i="4"/>
  <c r="T11" i="4" s="1"/>
  <c r="M11" i="4"/>
  <c r="F11" i="4"/>
  <c r="T10" i="4"/>
  <c r="S10" i="4"/>
  <c r="M10" i="4"/>
  <c r="F10" i="4"/>
  <c r="S9" i="4"/>
  <c r="M9" i="4"/>
  <c r="F9" i="4"/>
  <c r="S8" i="4"/>
  <c r="M8" i="4"/>
  <c r="T8" i="4" s="1"/>
  <c r="F8" i="4"/>
  <c r="S7" i="4"/>
  <c r="T7" i="4" s="1"/>
  <c r="M7" i="4"/>
  <c r="F7" i="4"/>
  <c r="T6" i="4"/>
  <c r="S6" i="4"/>
  <c r="R6" i="4" s="1"/>
  <c r="M6" i="4"/>
  <c r="F6" i="4"/>
  <c r="M8" i="3"/>
  <c r="F8" i="3"/>
  <c r="M7" i="3"/>
  <c r="F7" i="3"/>
  <c r="M6" i="3"/>
  <c r="F6" i="3"/>
  <c r="M5" i="3"/>
  <c r="F5" i="3"/>
  <c r="T16" i="4" l="1"/>
  <c r="T24" i="4"/>
  <c r="R7" i="4"/>
  <c r="R21" i="4"/>
  <c r="T25" i="4"/>
  <c r="T30" i="4"/>
  <c r="T13" i="4"/>
  <c r="R22" i="4"/>
  <c r="T36" i="4"/>
  <c r="R8" i="4"/>
  <c r="T26" i="4"/>
  <c r="T40" i="4"/>
  <c r="T32" i="4"/>
  <c r="T35" i="4"/>
  <c r="T9" i="4"/>
  <c r="R14" i="4"/>
  <c r="T18" i="4"/>
  <c r="T41" i="4"/>
  <c r="T23" i="4"/>
  <c r="R10" i="4"/>
  <c r="T19" i="4"/>
  <c r="T15" i="4"/>
  <c r="T20" i="4"/>
  <c r="T42" i="4"/>
  <c r="T34" i="4"/>
  <c r="B47" i="4"/>
  <c r="B46" i="4"/>
  <c r="R15" i="4"/>
  <c r="T21" i="4"/>
  <c r="R31" i="4"/>
  <c r="T37" i="4"/>
  <c r="R12" i="4"/>
  <c r="R28" i="4"/>
  <c r="R9" i="4"/>
  <c r="R25" i="4"/>
  <c r="R41" i="4"/>
  <c r="R29" i="4"/>
  <c r="R13" i="4"/>
  <c r="R23" i="4"/>
  <c r="R39" i="4"/>
  <c r="R30" i="4"/>
  <c r="R17" i="4"/>
  <c r="R33" i="4"/>
  <c r="R11" i="4"/>
  <c r="R27" i="4"/>
  <c r="R43" i="4"/>
</calcChain>
</file>

<file path=xl/sharedStrings.xml><?xml version="1.0" encoding="utf-8"?>
<sst xmlns="http://schemas.openxmlformats.org/spreadsheetml/2006/main" count="740" uniqueCount="236">
  <si>
    <t>Adaptive Remesher — Evaluation Data Tracker</t>
  </si>
  <si>
    <t>One sheet per experiment from the evaluation plan. Fill in the yellow cells as you run each experiment.</t>
  </si>
  <si>
    <t>Color / fill</t>
  </si>
  <si>
    <t>Meaning</t>
  </si>
  <si>
    <t>Blue text</t>
  </si>
  <si>
    <t>Empirical data already measured (from evaluation/experiment_*.py, or entered by you after a run).</t>
  </si>
  <si>
    <t>Black text</t>
  </si>
  <si>
    <t>Formula — recalculates automatically, do not overwrite with a typed number.</t>
  </si>
  <si>
    <t>Yellow fill</t>
  </si>
  <si>
    <t>Empty, waiting for data — this is where you type/paste results.</t>
  </si>
  <si>
    <t>Light green fill</t>
  </si>
  <si>
    <t>Example row showing the expected format — delete or overwrite it, don't leave it mixed in with real data.</t>
  </si>
  <si>
    <t>Sheet</t>
  </si>
  <si>
    <t>Status</t>
  </si>
  <si>
    <t>Dataset</t>
  </si>
  <si>
    <t>Filled — 19 real models across all 6 categories (Characters, Objects, Mechanical, Organic, Scanned, Generated), stats read directly from evaluation.gather_dataset_stats.py</t>
  </si>
  <si>
    <t>Exp_A_Bidirectional</t>
  </si>
  <si>
    <t>Filled with real results from evaluation/experiment_a_bidirectional.py (synthetic cases).</t>
  </si>
  <si>
    <t>Exp_B_Refinement_Ablation</t>
  </si>
  <si>
    <t>Filled — 38 rows (19 models x 2 configs) from evaluation.experiment_b_refinement.py, threshold tau=1% (D3), see summary rows 45-47</t>
  </si>
  <si>
    <t>Exp_C_Masked</t>
  </si>
  <si>
    <t>Filled with real results from evaluation/experiment_c_masked.py (synthetic cases).</t>
  </si>
  <si>
    <t>Exp_D_Threshold_Sensitivity</t>
  </si>
  <si>
    <t>Filled - 25 rows (5 representative models x 5 thresholds) from evaluation.experiment_d_threshold_sensitivity.py</t>
  </si>
  <si>
    <t>Exp_E_Reduction_Sensitivity</t>
  </si>
  <si>
    <t>Filled - 25 rows (5 representative models x 5 reduction%) from evaluation.experiment_e_reduction_sensitivity.py</t>
  </si>
  <si>
    <t>Engine_Comparison</t>
  </si>
  <si>
    <t>Filled - 38 rows (19 models x 2 engines, rows 5-42) from evaluation.experiment_engine_comparison.py, re-run after the DecimatePro/non-manifold fixes (TECHNICAL_DOCUMENTATION.md 5.6)</t>
  </si>
  <si>
    <t>UV_Seam_Detection</t>
  </si>
  <si>
    <t>Filled - 12 rows (6 synthetic seam models x 2 configs) from evaluation.experiment_uv_seam_detection.py</t>
  </si>
  <si>
    <t>Validity_Checks</t>
  </si>
  <si>
    <t>Filled - 38 rows (19 models, Before/After default pipeline, rows 5-42) from evaluation.experiment_validity_checks.py, re-run after the non-manifold-edge fix (TECHNICAL_DOCUMENTATION.md 5.6): 0 non-manifold edges on all 19 models now</t>
  </si>
  <si>
    <t>Runtime</t>
  </si>
  <si>
    <t>Filled - 19 rows from evaluation.experiment_runtime.py. T_Error/T_Repair left blank (not separable without instrumenting remesh_core.py); T_Other = refinement-loop total, see script docstring</t>
  </si>
  <si>
    <t>Model</t>
  </si>
  <si>
    <t>Category</t>
  </si>
  <si>
    <t>Source / URL</t>
  </si>
  <si>
    <t>License</t>
  </si>
  <si>
    <t>Triangles</t>
  </si>
  <si>
    <t>Vertices</t>
  </si>
  <si>
    <t>Connected components</t>
  </si>
  <si>
    <t>Has UV (Y/N)</t>
  </si>
  <si>
    <t>Has normals (Y/N)</t>
  </si>
  <si>
    <t>Bounding-box diagonal</t>
  </si>
  <si>
    <t>Notes</t>
  </si>
  <si>
    <t>Sculpture of man and woman (Egyptian excavation)</t>
  </si>
  <si>
    <t>Characters</t>
  </si>
  <si>
    <t>https://huggingface.co/datasets/allenai/objaverse/resolve/main/glbs/000-001/1b640e4be73d461abd24eee5e1b61301.glb</t>
  </si>
  <si>
    <t>CC0 1.0</t>
  </si>
  <si>
    <t>Y</t>
  </si>
  <si>
    <t>N</t>
  </si>
  <si>
    <t>Objaverse (museum/excavation scan)</t>
  </si>
  <si>
    <t>1993.165 Statuette of a Woman: "The Stargazer"</t>
  </si>
  <si>
    <t>https://huggingface.co/datasets/allenai/objaverse/resolve/main/glbs/000-104/84cd036f133e449ba7e67d33eb8047ee.glb</t>
  </si>
  <si>
    <t>Objaverse, Cleveland Museum of Art</t>
  </si>
  <si>
    <t>Statuette of a Woman in Hunting Clothes</t>
  </si>
  <si>
    <t>https://huggingface.co/datasets/allenai/objaverse/resolve/main/glbs/000-023/27fa02a655504a7e8160a0b167105daf.glb</t>
  </si>
  <si>
    <t>Objaverse (18th-c. Meissen porcelain, museum scan)</t>
  </si>
  <si>
    <t>Barrel 03</t>
  </si>
  <si>
    <t>Objects</t>
  </si>
  <si>
    <t>https://polyhaven.com/a/barrel_03</t>
  </si>
  <si>
    <t>Poly Haven</t>
  </si>
  <si>
    <t>Carrot Cake</t>
  </si>
  <si>
    <t>https://polyhaven.com/a/carrot_cake</t>
  </si>
  <si>
    <t>Carved Wooden Elephant</t>
  </si>
  <si>
    <t>https://polyhaven.com/a/carved_wooden_elephant</t>
  </si>
  <si>
    <t>Bolt Cutters 01</t>
  </si>
  <si>
    <t>Mechanical</t>
  </si>
  <si>
    <t>https://polyhaven.com/a/bolt_cutters_01</t>
  </si>
  <si>
    <t>Drill 01</t>
  </si>
  <si>
    <t>https://polyhaven.com/a/Drill_01</t>
  </si>
  <si>
    <t>Trilobite: Agnostid</t>
  </si>
  <si>
    <t>Organic</t>
  </si>
  <si>
    <t>https://huggingface.co/datasets/allenai/objaverse/resolve/main/glbs/000-023/2281648114694e4e901632eacf188636.glb</t>
  </si>
  <si>
    <t>Objaverse (Smithsonian/PRI fossil scan)</t>
  </si>
  <si>
    <t>Blastoid: Pentremites godani (PRI 70771)</t>
  </si>
  <si>
    <t>https://huggingface.co/datasets/allenai/objaverse/resolve/main/glbs/000-023/d470399390d84c81ad409c4f33f21a24.glb</t>
  </si>
  <si>
    <t>Objaverse (PRI fossil scan)</t>
  </si>
  <si>
    <t>Vertebrate: T. rex tooth (PRI 55205)</t>
  </si>
  <si>
    <t>https://huggingface.co/datasets/allenai/objaverse/resolve/main/glbs/000-030/353154e076364f6db8fd2b053f72be3f.glb</t>
  </si>
  <si>
    <t>Loewe (lion)</t>
  </si>
  <si>
    <t>https://huggingface.co/datasets/allenai/objaverse/resolve/main/glbs/000-086/cb90310b9d354315b65a7640f9161339.glb</t>
  </si>
  <si>
    <t>Objaverse (Schoenbrunn Zoo Vienna scan)</t>
  </si>
  <si>
    <t>Weisshai Great White Shark</t>
  </si>
  <si>
    <t>Scanned</t>
  </si>
  <si>
    <t>https://fuel.gazebosim.org/1.0/GoogleResearch/models/Weisshai_Great_White_Shark/tip/files/meshes/model.obj</t>
  </si>
  <si>
    <t>CC-BY 4.0</t>
  </si>
  <si>
    <t>Google Scanned Objects (components == triangles: source export duplicates vertices per face, not real fragmentation)</t>
  </si>
  <si>
    <t>Vegetable Garden</t>
  </si>
  <si>
    <t>https://fuel.gazebosim.org/1.0/GoogleResearch/models/VEGETABLE_GARDEN/tip/files/meshes/model.obj</t>
  </si>
  <si>
    <t>Curled Rat netsuke, test scan</t>
  </si>
  <si>
    <t>https://huggingface.co/datasets/allenai/objaverse/resolve/main/glbs/000-023/761a0f3150b042e8904ec63b54abd0f0.glb</t>
  </si>
  <si>
    <t>Objaverse, 3D Live Scanner Pro phone scan</t>
  </si>
  <si>
    <t>Stanford Bunny (reconstruction)</t>
  </si>
  <si>
    <t>http://graphics.stanford.edu/pub/3Dscanrep/bunny.tar.gz</t>
  </si>
  <si>
    <t>Free for research, attribution required</t>
  </si>
  <si>
    <t>Stanford 3D Scanning Repository</t>
  </si>
  <si>
    <t>Stanford Armadillo (reconstruction)</t>
  </si>
  <si>
    <t>http://graphics.stanford.edu/pub/3Dscanrep/armadillo/Armadillo.ply.gz</t>
  </si>
  <si>
    <t>Electrocardiograph Machine (AI-generated)</t>
  </si>
  <si>
    <t>Generated</t>
  </si>
  <si>
    <t>(generated locally with Meshy AI, not a downloaded URL)</t>
  </si>
  <si>
    <t>Own generation - no third-party license constraint</t>
  </si>
  <si>
    <t>Meshy AI text/image-to-3D (components == triangles: source export duplicates vertices per face, not real fragmentation)</t>
  </si>
  <si>
    <t>Realistic Heart (AI-generated)</t>
  </si>
  <si>
    <t>Experiment A — Bidirectional error detection</t>
  </si>
  <si>
    <t>Can source-&gt;result distance detect missing/altered geometry that result-&gt;source distance misses?</t>
  </si>
  <si>
    <t>Case</t>
  </si>
  <si>
    <t>Description</t>
  </si>
  <si>
    <t>Config</t>
  </si>
  <si>
    <t>Source tris</t>
  </si>
  <si>
    <t>Result tris</t>
  </si>
  <si>
    <t>Reduction %</t>
  </si>
  <si>
    <t>E_max fwd (R-&gt;S)</t>
  </si>
  <si>
    <t>E_mean fwd</t>
  </si>
  <si>
    <t>E_p95 fwd</t>
  </si>
  <si>
    <t>E_max rev (S-&gt;R)</t>
  </si>
  <si>
    <t>E_mean rev</t>
  </si>
  <si>
    <t>E_p95 rev</t>
  </si>
  <si>
    <t>E_max pooled</t>
  </si>
  <si>
    <t>E_mean pooled</t>
  </si>
  <si>
    <t>E_p95 pooled</t>
  </si>
  <si>
    <t>case1_removed_bump</t>
  </si>
  <si>
    <t>Disconnected satellite region completely removed from the result.</t>
  </si>
  <si>
    <t>handcrafted (no decimation engine involved)</t>
  </si>
  <si>
    <t>case2_partial_detail</t>
  </si>
  <si>
    <t>Connected raised bump, only its outer ring flattened (partial removal).</t>
  </si>
  <si>
    <t>case3_surface_relief</t>
  </si>
  <si>
    <t>Small, localized bump on an otherwise continuous surface (no handcrafted result).</t>
  </si>
  <si>
    <t>unprotected decimation, engine=QEM, reduction=90.0%</t>
  </si>
  <si>
    <t>case4_multi_region</t>
  </si>
  <si>
    <t>Three raised details of decreasing size/prominence at different locations.</t>
  </si>
  <si>
    <t>Note: E_mean_pooled / E_p95_pooled cannot be derived from the per-direction summary stats alone (they depend on the full concatenated error array, computed by measure_bidirectional_error + error_summary in remesh_core.py) - entered as data, not formulas. E_max_pooled IS always MAX(E_max_fwd, E_max_rev), so that one is a real formula.</t>
  </si>
  <si>
    <t>Experiment B — Error-guided refinement ablation</t>
  </si>
  <si>
    <t>Does bidirectional error-guided protection reduce geometric error, at the cost of additional protected geometry and reduced simplification?</t>
  </si>
  <si>
    <t>Error threshold tau, as a FRACTION of each model's bounding-box diagonal (as in the app: 0.01 = 1%), used for the 'Above threshold' column below:</t>
  </si>
  <si>
    <t>Config (No refinement / Bidirectional refinement)</t>
  </si>
  <si>
    <t>Input tris</t>
  </si>
  <si>
    <t>Output tris</t>
  </si>
  <si>
    <t>E_max fwd</t>
  </si>
  <si>
    <t>E_max rev</t>
  </si>
  <si>
    <t>Manually protected vertices</t>
  </si>
  <si>
    <t>Auto-added vertices</t>
  </si>
  <si>
    <t>Iterations</t>
  </si>
  <si>
    <t>Runtime (s)</t>
  </si>
  <si>
    <t>Above threshold?</t>
  </si>
  <si>
    <t>Bbox diagonal</t>
  </si>
  <si>
    <t>E_max pooled (% of diagonal)</t>
  </si>
  <si>
    <t>No refinement</t>
  </si>
  <si>
    <t>Bidirectional refinement</t>
  </si>
  <si>
    <t>Statuette of a Woman: "The Stargazer"</t>
  </si>
  <si>
    <t>Threshold-violation rate:</t>
  </si>
  <si>
    <t>No refinement:</t>
  </si>
  <si>
    <t>Bidirectional refinement:</t>
  </si>
  <si>
    <t>Experiment C — Masked simplification</t>
  </si>
  <si>
    <t>Can split-&gt;decimate-&gt;merge preserve a user-designated region while simplifying the rest?</t>
  </si>
  <si>
    <t>Important faces</t>
  </si>
  <si>
    <t>Important %</t>
  </si>
  <si>
    <t>Unmasked result tris</t>
  </si>
  <si>
    <t>Unmasked global reduction %</t>
  </si>
  <si>
    <t>Unmasked E_imp max</t>
  </si>
  <si>
    <t>Unmasked E_imp mean</t>
  </si>
  <si>
    <t>Unmasked E_imp p95</t>
  </si>
  <si>
    <t>Unmasked E_rest max</t>
  </si>
  <si>
    <t>Unmasked E_rest mean</t>
  </si>
  <si>
    <t>Unmasked E_rest p95</t>
  </si>
  <si>
    <t>Masked result tris</t>
  </si>
  <si>
    <t>Masked global reduction %</t>
  </si>
  <si>
    <t>Masked unprotected tris before</t>
  </si>
  <si>
    <t>Masked unprotected tris after</t>
  </si>
  <si>
    <t>Masked zone reduction %</t>
  </si>
  <si>
    <t>Masked E_imp max</t>
  </si>
  <si>
    <t>Masked E_imp mean</t>
  </si>
  <si>
    <t>Masked E_imp p95</t>
  </si>
  <si>
    <t>Masked E_rest max</t>
  </si>
  <si>
    <t>Masked E_rest mean</t>
  </si>
  <si>
    <t>Masked E_rest p95</t>
  </si>
  <si>
    <t>Experiment D — Error-threshold sensitivity</t>
  </si>
  <si>
    <t>As the error threshold tightens, expect: more protection -&gt; less reduction -&gt; less geometric error.</t>
  </si>
  <si>
    <t>Threshold %</t>
  </si>
  <si>
    <t>Points added</t>
  </si>
  <si>
    <t>E_max final</t>
  </si>
  <si>
    <t>E_mean final</t>
  </si>
  <si>
    <t>E_p95 final</t>
  </si>
  <si>
    <t>Experiment E — Requested-reduction sensitivity</t>
  </si>
  <si>
    <t>The error-guided refinement never changes the reduction target; it only grows protection. Global reduction can end up well below the request; unprotected-zone reduction should stay close to it.</t>
  </si>
  <si>
    <t>Requested reduction %</t>
  </si>
  <si>
    <t>Actual global reduction %</t>
  </si>
  <si>
    <t>Unprotected tris before</t>
  </si>
  <si>
    <t>Unprotected tris after</t>
  </si>
  <si>
    <t>Unprotected zone reduction %</t>
  </si>
  <si>
    <t>E_max</t>
  </si>
  <si>
    <t>Engine comparison — vtkDecimatePro vs. vtkQuadricDecimation</t>
  </si>
  <si>
    <t>Same models/parameters, both engines. Not to declare a winner - to show the pipeline is engine-independent.</t>
  </si>
  <si>
    <t>Engine</t>
  </si>
  <si>
    <t>Actual reduction %</t>
  </si>
  <si>
    <t>E_mean</t>
  </si>
  <si>
    <t>Protected vertices</t>
  </si>
  <si>
    <t>Boundary edges found (interface issues)</t>
  </si>
  <si>
    <t>DecimatePro</t>
  </si>
  <si>
    <t>QEM</t>
  </si>
  <si>
    <t>UV seam detection and geometric protection</t>
  </si>
  <si>
    <t>A: does the detector find the intended seam? B: does turning protection on stop those vertices from collapsing? Reminder for the paper: UV coordinate DATA is not currently preserved after the masked merge/weld step whenever any mask is active (verified empirically) - report that as a limitation, not as 'UV preserved'.</t>
  </si>
  <si>
    <t>Expected seam vertices</t>
  </si>
  <si>
    <t>Detected seam vertices</t>
  </si>
  <si>
    <t>Precision</t>
  </si>
  <si>
    <t>Recall</t>
  </si>
  <si>
    <t>UV protection ON?</t>
  </si>
  <si>
    <t>Seam vertices collapsed?</t>
  </si>
  <si>
    <t>UV coord. data preserved after merge?</t>
  </si>
  <si>
    <t>grid_no_seam_control</t>
  </si>
  <si>
    <t>No</t>
  </si>
  <si>
    <t>Yes</t>
  </si>
  <si>
    <t>grid_1seam_small</t>
  </si>
  <si>
    <t>grid_1seam_medium</t>
  </si>
  <si>
    <t>grid_1seam_large</t>
  </si>
  <si>
    <t>grid_2seams_multi</t>
  </si>
  <si>
    <t>grid_1seam_thin_strip</t>
  </si>
  <si>
    <t>Validity checks — post-simplification mesh integrity</t>
  </si>
  <si>
    <t>Run after every simplification you evaluate. Important because the boundary-gap repair stage fan-triangulates by hand (see remesh_core.py's _stitch_residual_boundary_gaps).</t>
  </si>
  <si>
    <t>Faces</t>
  </si>
  <si>
    <t>Duplicate vertices</t>
  </si>
  <si>
    <t>Boundary edges</t>
  </si>
  <si>
    <t>Non-manifold edges</t>
  </si>
  <si>
    <t>Degenerate faces</t>
  </si>
  <si>
    <t>Watertight?</t>
  </si>
  <si>
    <t>Before (raw load)</t>
  </si>
  <si>
    <t>After (default pipeline, 90%)</t>
  </si>
  <si>
    <t>Runtime overhead</t>
  </si>
  <si>
    <t>How much computational overhead does bidirectional validation introduce? T_Decimation/T_Error/T_Repair need remesh_core.py instrumented with timers if you want the breakdown; T_Total alone can be measured today with a stopwatch around run_decimation_pipeline().</t>
  </si>
  <si>
    <t>T_Total (s)</t>
  </si>
  <si>
    <t>T_Decimation (s)</t>
  </si>
  <si>
    <t>T_Error (s)</t>
  </si>
  <si>
    <t>T_Repair (s)</t>
  </si>
  <si>
    <t>T_Other (s)</t>
  </si>
  <si>
    <t>Default pipeline (DecimatePro, 90%, UV+auto-error protection)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</si>
</sst>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95959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i/>
      <sz val="10"/>
      <name val="Arial"/>
    </font>
    <font>
      <sz val="10"/>
      <color rgb="FF0000FF"/>
      <name val="Arial"/>
    </font>
    <font>
      <sz val="10"/>
      <color rgb="FF000000"/>
      <name val="Arial"/>
    </font>
    <font>
      <i/>
      <sz val="9"/>
      <color rgb="FF808080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2EFDA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7" fillId="4" borderId="1" xfId="0" applyFont="1" applyFill="1" applyBorder="1"/>
    <xf numFmtId="0" fontId="1" fillId="0" borderId="0" xfId="0" applyFont="1"/>
    <xf numFmtId="0" fontId="2" fillId="0" borderId="0" xfId="0" applyFont="1"/>
    <xf numFmtId="0" fontId="7" fillId="0" borderId="1" xfId="0" applyFont="1" applyBorder="1"/>
    <xf numFmtId="164" fontId="8" fillId="0" borderId="1" xfId="0" applyNumberFormat="1" applyFont="1" applyBorder="1"/>
    <xf numFmtId="0" fontId="8" fillId="0" borderId="1" xfId="0" applyFont="1" applyBorder="1"/>
    <xf numFmtId="0" fontId="4" fillId="0" borderId="0" xfId="0" applyFont="1"/>
    <xf numFmtId="164" fontId="8" fillId="4" borderId="1" xfId="0" applyNumberFormat="1" applyFont="1" applyFill="1" applyBorder="1"/>
    <xf numFmtId="0" fontId="8" fillId="4" borderId="1" xfId="0" applyFont="1" applyFill="1" applyBorder="1"/>
    <xf numFmtId="0" fontId="3" fillId="0" borderId="0" xfId="0" applyFont="1"/>
    <xf numFmtId="0" fontId="8" fillId="0" borderId="0" xfId="0" applyFont="1"/>
    <xf numFmtId="165" fontId="7" fillId="4" borderId="1" xfId="0" applyNumberFormat="1" applyFont="1" applyFill="1" applyBorder="1"/>
    <xf numFmtId="0" fontId="10" fillId="0" borderId="0" xfId="0" applyFont="1"/>
    <xf numFmtId="165" fontId="0" fillId="0" borderId="0" xfId="0" applyNumberFormat="1"/>
    <xf numFmtId="0" fontId="9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/>
  </sheetViews>
  <sheetFormatPr defaultRowHeight="15" x14ac:dyDescent="0.25"/>
  <cols>
    <col min="1" max="1" width="28" customWidth="1"/>
    <col min="2" max="2" width="100" customWidth="1"/>
  </cols>
  <sheetData>
    <row r="1" spans="1:2" ht="54" customHeight="1" x14ac:dyDescent="0.25">
      <c r="A1" s="1" t="s">
        <v>0</v>
      </c>
    </row>
    <row r="2" spans="1:2" ht="51" customHeight="1" x14ac:dyDescent="0.25">
      <c r="A2" s="2" t="s">
        <v>1</v>
      </c>
    </row>
    <row r="3" spans="1:2" x14ac:dyDescent="0.25">
      <c r="A3" s="3"/>
      <c r="B3" s="3"/>
    </row>
    <row r="4" spans="1:2" x14ac:dyDescent="0.25">
      <c r="A4" s="4" t="s">
        <v>2</v>
      </c>
      <c r="B4" s="4" t="s">
        <v>3</v>
      </c>
    </row>
    <row r="5" spans="1:2" x14ac:dyDescent="0.25">
      <c r="A5" s="3" t="s">
        <v>4</v>
      </c>
      <c r="B5" s="3" t="s">
        <v>5</v>
      </c>
    </row>
    <row r="6" spans="1:2" x14ac:dyDescent="0.25">
      <c r="A6" s="3" t="s">
        <v>6</v>
      </c>
      <c r="B6" s="3" t="s">
        <v>7</v>
      </c>
    </row>
    <row r="7" spans="1:2" x14ac:dyDescent="0.25">
      <c r="A7" s="3" t="s">
        <v>8</v>
      </c>
      <c r="B7" s="3" t="s">
        <v>9</v>
      </c>
    </row>
    <row r="8" spans="1:2" x14ac:dyDescent="0.25">
      <c r="A8" s="3" t="s">
        <v>10</v>
      </c>
      <c r="B8" s="3" t="s">
        <v>11</v>
      </c>
    </row>
    <row r="9" spans="1:2" x14ac:dyDescent="0.25">
      <c r="A9" s="3"/>
      <c r="B9" s="3"/>
    </row>
    <row r="10" spans="1:2" x14ac:dyDescent="0.25">
      <c r="A10" s="4" t="s">
        <v>12</v>
      </c>
      <c r="B10" s="4" t="s">
        <v>13</v>
      </c>
    </row>
    <row r="11" spans="1:2" ht="25.5" customHeight="1" x14ac:dyDescent="0.25">
      <c r="A11" s="4" t="s">
        <v>14</v>
      </c>
      <c r="B11" s="3" t="s">
        <v>15</v>
      </c>
    </row>
    <row r="12" spans="1:2" x14ac:dyDescent="0.25">
      <c r="A12" s="4" t="s">
        <v>16</v>
      </c>
      <c r="B12" s="3" t="s">
        <v>17</v>
      </c>
    </row>
    <row r="13" spans="1:2" ht="25.5" customHeight="1" x14ac:dyDescent="0.25">
      <c r="A13" s="4" t="s">
        <v>18</v>
      </c>
      <c r="B13" s="3" t="s">
        <v>19</v>
      </c>
    </row>
    <row r="14" spans="1:2" x14ac:dyDescent="0.25">
      <c r="A14" s="4" t="s">
        <v>20</v>
      </c>
      <c r="B14" s="3" t="s">
        <v>21</v>
      </c>
    </row>
    <row r="15" spans="1:2" x14ac:dyDescent="0.25">
      <c r="A15" s="4" t="s">
        <v>22</v>
      </c>
      <c r="B15" s="3" t="s">
        <v>23</v>
      </c>
    </row>
    <row r="16" spans="1:2" x14ac:dyDescent="0.25">
      <c r="A16" s="4" t="s">
        <v>24</v>
      </c>
      <c r="B16" s="3" t="s">
        <v>25</v>
      </c>
    </row>
    <row r="17" spans="1:2" ht="25.5" customHeight="1" x14ac:dyDescent="0.25">
      <c r="A17" s="4" t="s">
        <v>26</v>
      </c>
      <c r="B17" s="3" t="s">
        <v>27</v>
      </c>
    </row>
    <row r="18" spans="1:2" x14ac:dyDescent="0.25">
      <c r="A18" s="4" t="s">
        <v>28</v>
      </c>
      <c r="B18" s="3" t="s">
        <v>29</v>
      </c>
    </row>
    <row r="19" spans="1:2" ht="25.5" customHeight="1" x14ac:dyDescent="0.25">
      <c r="A19" s="4" t="s">
        <v>30</v>
      </c>
      <c r="B19" s="3" t="s">
        <v>31</v>
      </c>
    </row>
    <row r="20" spans="1:2" ht="25.5" customHeight="1" x14ac:dyDescent="0.25">
      <c r="A20" s="4" t="s">
        <v>32</v>
      </c>
      <c r="B20" s="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4" customWidth="1"/>
    <col min="3" max="3" width="38" customWidth="1"/>
    <col min="4" max="4" width="16" customWidth="1"/>
    <col min="5" max="6" width="11" customWidth="1"/>
    <col min="7" max="7" width="13" customWidth="1"/>
    <col min="8" max="9" width="10" customWidth="1"/>
    <col min="10" max="10" width="14" customWidth="1"/>
    <col min="11" max="11" width="40" customWidth="1"/>
  </cols>
  <sheetData>
    <row r="1" spans="1:11" ht="30" customHeight="1" x14ac:dyDescent="0.25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</row>
    <row r="2" spans="1:11" x14ac:dyDescent="0.25">
      <c r="A2" s="6" t="s">
        <v>45</v>
      </c>
      <c r="B2" s="6" t="s">
        <v>46</v>
      </c>
      <c r="C2" s="6" t="s">
        <v>47</v>
      </c>
      <c r="D2" s="6" t="s">
        <v>48</v>
      </c>
      <c r="E2" s="6">
        <v>59996</v>
      </c>
      <c r="F2" s="6">
        <v>32175</v>
      </c>
      <c r="G2" s="6">
        <v>34</v>
      </c>
      <c r="H2" s="6" t="s">
        <v>49</v>
      </c>
      <c r="I2" s="6" t="s">
        <v>50</v>
      </c>
      <c r="J2" s="6">
        <v>421.23719999999997</v>
      </c>
      <c r="K2" s="6" t="s">
        <v>51</v>
      </c>
    </row>
    <row r="3" spans="1:11" x14ac:dyDescent="0.25">
      <c r="A3" s="7" t="s">
        <v>52</v>
      </c>
      <c r="B3" s="7" t="s">
        <v>46</v>
      </c>
      <c r="C3" s="7" t="s">
        <v>53</v>
      </c>
      <c r="D3" s="7" t="s">
        <v>48</v>
      </c>
      <c r="E3" s="7">
        <v>15000</v>
      </c>
      <c r="F3" s="7">
        <v>7856</v>
      </c>
      <c r="G3" s="7">
        <v>4</v>
      </c>
      <c r="H3" s="7" t="s">
        <v>49</v>
      </c>
      <c r="I3" s="7" t="s">
        <v>50</v>
      </c>
      <c r="J3" s="7">
        <v>19.521100000000001</v>
      </c>
      <c r="K3" s="7" t="s">
        <v>54</v>
      </c>
    </row>
    <row r="4" spans="1:11" x14ac:dyDescent="0.25">
      <c r="A4" s="7" t="s">
        <v>55</v>
      </c>
      <c r="B4" s="7" t="s">
        <v>46</v>
      </c>
      <c r="C4" s="7" t="s">
        <v>56</v>
      </c>
      <c r="D4" s="7" t="s">
        <v>48</v>
      </c>
      <c r="E4" s="7">
        <v>130504</v>
      </c>
      <c r="F4" s="7">
        <v>69037</v>
      </c>
      <c r="G4" s="7">
        <v>67</v>
      </c>
      <c r="H4" s="7" t="s">
        <v>49</v>
      </c>
      <c r="I4" s="7" t="s">
        <v>50</v>
      </c>
      <c r="J4" s="7">
        <v>156.50190000000001</v>
      </c>
      <c r="K4" s="7" t="s">
        <v>57</v>
      </c>
    </row>
    <row r="5" spans="1:11" x14ac:dyDescent="0.25">
      <c r="A5" s="7" t="s">
        <v>58</v>
      </c>
      <c r="B5" s="7" t="s">
        <v>59</v>
      </c>
      <c r="C5" s="7" t="s">
        <v>60</v>
      </c>
      <c r="D5" s="7" t="s">
        <v>48</v>
      </c>
      <c r="E5" s="7">
        <v>1473</v>
      </c>
      <c r="F5" s="7">
        <v>1126</v>
      </c>
      <c r="G5" s="7">
        <v>17</v>
      </c>
      <c r="H5" s="7" t="s">
        <v>49</v>
      </c>
      <c r="I5" s="7" t="s">
        <v>50</v>
      </c>
      <c r="J5" s="7">
        <v>1.2944</v>
      </c>
      <c r="K5" s="7" t="s">
        <v>61</v>
      </c>
    </row>
    <row r="6" spans="1:11" x14ac:dyDescent="0.25">
      <c r="A6" s="7" t="s">
        <v>62</v>
      </c>
      <c r="B6" s="7" t="s">
        <v>59</v>
      </c>
      <c r="C6" s="7" t="s">
        <v>63</v>
      </c>
      <c r="D6" s="7" t="s">
        <v>48</v>
      </c>
      <c r="E6" s="7">
        <v>13790</v>
      </c>
      <c r="F6" s="7">
        <v>9211</v>
      </c>
      <c r="G6" s="7">
        <v>289</v>
      </c>
      <c r="H6" s="7" t="s">
        <v>49</v>
      </c>
      <c r="I6" s="7" t="s">
        <v>50</v>
      </c>
      <c r="J6" s="7">
        <v>0.33339999999999997</v>
      </c>
      <c r="K6" s="7" t="s">
        <v>61</v>
      </c>
    </row>
    <row r="7" spans="1:11" x14ac:dyDescent="0.25">
      <c r="A7" s="7" t="s">
        <v>64</v>
      </c>
      <c r="B7" s="7" t="s">
        <v>59</v>
      </c>
      <c r="C7" s="7" t="s">
        <v>65</v>
      </c>
      <c r="D7" s="7" t="s">
        <v>48</v>
      </c>
      <c r="E7" s="7">
        <v>2752</v>
      </c>
      <c r="F7" s="7">
        <v>1664</v>
      </c>
      <c r="G7" s="7">
        <v>9</v>
      </c>
      <c r="H7" s="7" t="s">
        <v>49</v>
      </c>
      <c r="I7" s="7" t="s">
        <v>50</v>
      </c>
      <c r="J7" s="7">
        <v>0.1565</v>
      </c>
      <c r="K7" s="7" t="s">
        <v>61</v>
      </c>
    </row>
    <row r="8" spans="1:11" x14ac:dyDescent="0.25">
      <c r="A8" s="7" t="s">
        <v>66</v>
      </c>
      <c r="B8" s="7" t="s">
        <v>67</v>
      </c>
      <c r="C8" s="7" t="s">
        <v>68</v>
      </c>
      <c r="D8" s="7" t="s">
        <v>48</v>
      </c>
      <c r="E8" s="7">
        <v>3410</v>
      </c>
      <c r="F8" s="7">
        <v>2320</v>
      </c>
      <c r="G8" s="7">
        <v>62</v>
      </c>
      <c r="H8" s="7" t="s">
        <v>49</v>
      </c>
      <c r="I8" s="7" t="s">
        <v>50</v>
      </c>
      <c r="J8" s="7">
        <v>0.8175</v>
      </c>
      <c r="K8" s="7" t="s">
        <v>61</v>
      </c>
    </row>
    <row r="9" spans="1:11" x14ac:dyDescent="0.25">
      <c r="A9" s="7" t="s">
        <v>69</v>
      </c>
      <c r="B9" s="7" t="s">
        <v>67</v>
      </c>
      <c r="C9" s="7" t="s">
        <v>70</v>
      </c>
      <c r="D9" s="7" t="s">
        <v>48</v>
      </c>
      <c r="E9" s="7">
        <v>2926</v>
      </c>
      <c r="F9" s="7">
        <v>2267</v>
      </c>
      <c r="G9" s="7">
        <v>79</v>
      </c>
      <c r="H9" s="7" t="s">
        <v>49</v>
      </c>
      <c r="I9" s="7" t="s">
        <v>50</v>
      </c>
      <c r="J9" s="7">
        <v>0.26540000000000002</v>
      </c>
      <c r="K9" s="7" t="s">
        <v>61</v>
      </c>
    </row>
    <row r="10" spans="1:11" x14ac:dyDescent="0.25">
      <c r="A10" s="7" t="s">
        <v>71</v>
      </c>
      <c r="B10" s="7" t="s">
        <v>72</v>
      </c>
      <c r="C10" s="7" t="s">
        <v>73</v>
      </c>
      <c r="D10" s="7" t="s">
        <v>48</v>
      </c>
      <c r="E10" s="7">
        <v>211874</v>
      </c>
      <c r="F10" s="7">
        <v>122173</v>
      </c>
      <c r="G10" s="7">
        <v>1630</v>
      </c>
      <c r="H10" s="7" t="s">
        <v>49</v>
      </c>
      <c r="I10" s="7" t="s">
        <v>50</v>
      </c>
      <c r="J10" s="7">
        <v>2.2942</v>
      </c>
      <c r="K10" s="7" t="s">
        <v>74</v>
      </c>
    </row>
    <row r="11" spans="1:11" x14ac:dyDescent="0.25">
      <c r="A11" s="7" t="s">
        <v>75</v>
      </c>
      <c r="B11" s="7" t="s">
        <v>72</v>
      </c>
      <c r="C11" s="7" t="s">
        <v>76</v>
      </c>
      <c r="D11" s="7" t="s">
        <v>48</v>
      </c>
      <c r="E11" s="7">
        <v>446670</v>
      </c>
      <c r="F11" s="7">
        <v>279629</v>
      </c>
      <c r="G11" s="7">
        <v>4790</v>
      </c>
      <c r="H11" s="7" t="s">
        <v>49</v>
      </c>
      <c r="I11" s="7" t="s">
        <v>50</v>
      </c>
      <c r="J11" s="7">
        <v>1.8779999999999999</v>
      </c>
      <c r="K11" s="7" t="s">
        <v>77</v>
      </c>
    </row>
    <row r="12" spans="1:11" x14ac:dyDescent="0.25">
      <c r="A12" t="s">
        <v>78</v>
      </c>
      <c r="B12" t="s">
        <v>72</v>
      </c>
      <c r="C12" t="s">
        <v>79</v>
      </c>
      <c r="D12" t="s">
        <v>48</v>
      </c>
      <c r="E12">
        <v>108958</v>
      </c>
      <c r="F12">
        <v>57711</v>
      </c>
      <c r="G12">
        <v>161</v>
      </c>
      <c r="H12" t="s">
        <v>49</v>
      </c>
      <c r="I12" t="s">
        <v>50</v>
      </c>
      <c r="J12">
        <v>1.6142000000000001</v>
      </c>
      <c r="K12" t="s">
        <v>77</v>
      </c>
    </row>
    <row r="13" spans="1:11" x14ac:dyDescent="0.25">
      <c r="A13" t="s">
        <v>80</v>
      </c>
      <c r="B13" t="s">
        <v>72</v>
      </c>
      <c r="C13" t="s">
        <v>81</v>
      </c>
      <c r="D13" t="s">
        <v>48</v>
      </c>
      <c r="E13">
        <v>405680</v>
      </c>
      <c r="F13">
        <v>280931</v>
      </c>
      <c r="G13">
        <v>7804</v>
      </c>
      <c r="H13" t="s">
        <v>49</v>
      </c>
      <c r="I13" t="s">
        <v>50</v>
      </c>
      <c r="J13">
        <v>4.8654000000000002</v>
      </c>
      <c r="K13" t="s">
        <v>82</v>
      </c>
    </row>
    <row r="14" spans="1:11" x14ac:dyDescent="0.25">
      <c r="A14" t="s">
        <v>83</v>
      </c>
      <c r="B14" t="s">
        <v>84</v>
      </c>
      <c r="C14" t="s">
        <v>85</v>
      </c>
      <c r="D14" t="s">
        <v>86</v>
      </c>
      <c r="E14">
        <v>5912</v>
      </c>
      <c r="F14">
        <v>17736</v>
      </c>
      <c r="G14">
        <v>5912</v>
      </c>
      <c r="H14" t="s">
        <v>49</v>
      </c>
      <c r="I14" t="s">
        <v>49</v>
      </c>
      <c r="J14">
        <v>0.23269999999999999</v>
      </c>
      <c r="K14" t="s">
        <v>87</v>
      </c>
    </row>
    <row r="15" spans="1:11" x14ac:dyDescent="0.25">
      <c r="A15" t="s">
        <v>88</v>
      </c>
      <c r="B15" t="s">
        <v>84</v>
      </c>
      <c r="C15" t="s">
        <v>89</v>
      </c>
      <c r="D15" t="s">
        <v>86</v>
      </c>
      <c r="E15">
        <v>16694</v>
      </c>
      <c r="F15">
        <v>50082</v>
      </c>
      <c r="G15">
        <v>16694</v>
      </c>
      <c r="H15" t="s">
        <v>49</v>
      </c>
      <c r="I15" t="s">
        <v>49</v>
      </c>
      <c r="J15">
        <v>0.3029</v>
      </c>
      <c r="K15" t="s">
        <v>87</v>
      </c>
    </row>
    <row r="16" spans="1:11" x14ac:dyDescent="0.25">
      <c r="A16" t="s">
        <v>90</v>
      </c>
      <c r="B16" t="s">
        <v>84</v>
      </c>
      <c r="C16" t="s">
        <v>91</v>
      </c>
      <c r="D16" t="s">
        <v>48</v>
      </c>
      <c r="E16">
        <v>63998</v>
      </c>
      <c r="F16">
        <v>34257</v>
      </c>
      <c r="G16">
        <v>266</v>
      </c>
      <c r="H16" t="s">
        <v>49</v>
      </c>
      <c r="I16" t="s">
        <v>50</v>
      </c>
      <c r="J16">
        <v>0.45639999999999997</v>
      </c>
      <c r="K16" t="s">
        <v>92</v>
      </c>
    </row>
    <row r="17" spans="1:11" x14ac:dyDescent="0.25">
      <c r="A17" t="s">
        <v>93</v>
      </c>
      <c r="B17" t="s">
        <v>84</v>
      </c>
      <c r="C17" t="s">
        <v>94</v>
      </c>
      <c r="D17" t="s">
        <v>95</v>
      </c>
      <c r="E17">
        <v>69451</v>
      </c>
      <c r="F17">
        <v>35947</v>
      </c>
      <c r="G17">
        <v>1</v>
      </c>
      <c r="H17" t="s">
        <v>50</v>
      </c>
      <c r="I17" t="s">
        <v>50</v>
      </c>
      <c r="J17">
        <v>0.25019999999999998</v>
      </c>
      <c r="K17" t="s">
        <v>96</v>
      </c>
    </row>
    <row r="18" spans="1:11" x14ac:dyDescent="0.25">
      <c r="A18" t="s">
        <v>97</v>
      </c>
      <c r="B18" t="s">
        <v>84</v>
      </c>
      <c r="C18" t="s">
        <v>98</v>
      </c>
      <c r="D18" t="s">
        <v>95</v>
      </c>
      <c r="E18">
        <v>345944</v>
      </c>
      <c r="F18">
        <v>172974</v>
      </c>
      <c r="G18">
        <v>1</v>
      </c>
      <c r="H18" t="s">
        <v>50</v>
      </c>
      <c r="I18" t="s">
        <v>50</v>
      </c>
      <c r="J18">
        <v>228.80369999999999</v>
      </c>
      <c r="K18" t="s">
        <v>96</v>
      </c>
    </row>
    <row r="19" spans="1:11" x14ac:dyDescent="0.25">
      <c r="A19" t="s">
        <v>99</v>
      </c>
      <c r="B19" t="s">
        <v>100</v>
      </c>
      <c r="C19" t="s">
        <v>101</v>
      </c>
      <c r="D19" t="s">
        <v>102</v>
      </c>
      <c r="E19">
        <v>1869988</v>
      </c>
      <c r="F19">
        <v>5609964</v>
      </c>
      <c r="G19">
        <v>1869988</v>
      </c>
      <c r="H19" t="s">
        <v>50</v>
      </c>
      <c r="I19" t="s">
        <v>49</v>
      </c>
      <c r="J19">
        <v>2.3605999999999998</v>
      </c>
      <c r="K19" t="s">
        <v>103</v>
      </c>
    </row>
    <row r="20" spans="1:11" x14ac:dyDescent="0.25">
      <c r="A20" t="s">
        <v>104</v>
      </c>
      <c r="B20" t="s">
        <v>100</v>
      </c>
      <c r="C20" t="s">
        <v>101</v>
      </c>
      <c r="D20" t="s">
        <v>102</v>
      </c>
      <c r="E20">
        <v>31400</v>
      </c>
      <c r="F20">
        <v>94200</v>
      </c>
      <c r="G20">
        <v>31400</v>
      </c>
      <c r="H20" t="s">
        <v>49</v>
      </c>
      <c r="I20" t="s">
        <v>49</v>
      </c>
      <c r="J20">
        <v>2.4527999999999999</v>
      </c>
      <c r="K20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0" customWidth="1"/>
    <col min="2" max="2" width="34" customWidth="1"/>
    <col min="3" max="3" width="30" customWidth="1"/>
    <col min="4" max="6" width="10" customWidth="1"/>
    <col min="7" max="7" width="12" customWidth="1"/>
    <col min="8" max="9" width="11" customWidth="1"/>
    <col min="10" max="10" width="12" customWidth="1"/>
    <col min="11" max="12" width="11" customWidth="1"/>
    <col min="13" max="15" width="12" customWidth="1"/>
  </cols>
  <sheetData>
    <row r="1" spans="1:15" ht="18" customHeight="1" x14ac:dyDescent="0.25">
      <c r="A1" s="8" t="s">
        <v>105</v>
      </c>
    </row>
    <row r="2" spans="1:15" x14ac:dyDescent="0.25">
      <c r="A2" s="9" t="s">
        <v>106</v>
      </c>
    </row>
    <row r="4" spans="1:15" ht="30" customHeight="1" x14ac:dyDescent="0.25">
      <c r="A4" s="5" t="s">
        <v>107</v>
      </c>
      <c r="B4" s="5" t="s">
        <v>108</v>
      </c>
      <c r="C4" s="5" t="s">
        <v>109</v>
      </c>
      <c r="D4" s="5" t="s">
        <v>110</v>
      </c>
      <c r="E4" s="5" t="s">
        <v>111</v>
      </c>
      <c r="F4" s="5" t="s">
        <v>112</v>
      </c>
      <c r="G4" s="5" t="s">
        <v>113</v>
      </c>
      <c r="H4" s="5" t="s">
        <v>114</v>
      </c>
      <c r="I4" s="5" t="s">
        <v>115</v>
      </c>
      <c r="J4" s="5" t="s">
        <v>116</v>
      </c>
      <c r="K4" s="5" t="s">
        <v>117</v>
      </c>
      <c r="L4" s="5" t="s">
        <v>118</v>
      </c>
      <c r="M4" s="5" t="s">
        <v>119</v>
      </c>
      <c r="N4" s="5" t="s">
        <v>120</v>
      </c>
      <c r="O4" s="5" t="s">
        <v>121</v>
      </c>
    </row>
    <row r="5" spans="1:15" x14ac:dyDescent="0.25">
      <c r="A5" s="10" t="s">
        <v>122</v>
      </c>
      <c r="B5" s="10" t="s">
        <v>123</v>
      </c>
      <c r="C5" s="10" t="s">
        <v>124</v>
      </c>
      <c r="D5" s="10">
        <v>3280</v>
      </c>
      <c r="E5" s="10">
        <v>3040</v>
      </c>
      <c r="F5" s="11">
        <f>1-E5/D5</f>
        <v>7.3170731707317027E-2</v>
      </c>
      <c r="G5" s="10">
        <v>0</v>
      </c>
      <c r="H5" s="10">
        <v>0</v>
      </c>
      <c r="I5" s="10">
        <v>0</v>
      </c>
      <c r="J5" s="10">
        <v>4.8414809999999999</v>
      </c>
      <c r="K5" s="10">
        <v>0.34373399999999998</v>
      </c>
      <c r="L5" s="10">
        <v>4.6396990000000002</v>
      </c>
      <c r="M5" s="12">
        <f>MAX(G5,J5)</f>
        <v>4.8414809999999999</v>
      </c>
      <c r="N5" s="10">
        <v>0.178394</v>
      </c>
      <c r="O5" s="10">
        <v>0</v>
      </c>
    </row>
    <row r="6" spans="1:15" x14ac:dyDescent="0.25">
      <c r="A6" s="10" t="s">
        <v>125</v>
      </c>
      <c r="B6" s="10" t="s">
        <v>126</v>
      </c>
      <c r="C6" s="10" t="s">
        <v>124</v>
      </c>
      <c r="D6" s="10">
        <v>6960</v>
      </c>
      <c r="E6" s="10">
        <v>6960</v>
      </c>
      <c r="F6" s="11">
        <f>1-E6/D6</f>
        <v>0</v>
      </c>
      <c r="G6" s="10">
        <v>6.0573000000000002E-2</v>
      </c>
      <c r="H6" s="10">
        <v>2.5379999999999999E-3</v>
      </c>
      <c r="I6" s="10">
        <v>2.9117000000000001E-2</v>
      </c>
      <c r="J6" s="10">
        <v>5.7542999999999997E-2</v>
      </c>
      <c r="K6" s="10">
        <v>2.2729999999999998E-3</v>
      </c>
      <c r="L6" s="10">
        <v>1.8589999999999999E-2</v>
      </c>
      <c r="M6" s="12">
        <f>MAX(G6,J6)</f>
        <v>6.0573000000000002E-2</v>
      </c>
      <c r="N6" s="10">
        <v>2.4060000000000002E-3</v>
      </c>
      <c r="O6" s="10">
        <v>1.8591E-2</v>
      </c>
    </row>
    <row r="7" spans="1:15" x14ac:dyDescent="0.25">
      <c r="A7" s="10" t="s">
        <v>127</v>
      </c>
      <c r="B7" s="10" t="s">
        <v>128</v>
      </c>
      <c r="C7" s="10" t="s">
        <v>129</v>
      </c>
      <c r="D7" s="10">
        <v>6960</v>
      </c>
      <c r="E7" s="10">
        <v>696</v>
      </c>
      <c r="F7" s="11">
        <f>1-E7/D7</f>
        <v>0.9</v>
      </c>
      <c r="G7" s="10">
        <v>4.7930000000000004E-3</v>
      </c>
      <c r="H7" s="10">
        <v>1.964E-3</v>
      </c>
      <c r="I7" s="10">
        <v>3.2299999999999998E-3</v>
      </c>
      <c r="J7" s="10">
        <v>5.6569999999999997E-3</v>
      </c>
      <c r="K7" s="10">
        <v>1.2130000000000001E-3</v>
      </c>
      <c r="L7" s="10">
        <v>2.728E-3</v>
      </c>
      <c r="M7" s="12">
        <f>MAX(G7,J7)</f>
        <v>5.6569999999999997E-3</v>
      </c>
      <c r="N7" s="10">
        <v>1.2819999999999999E-3</v>
      </c>
      <c r="O7" s="10">
        <v>2.7829999999999999E-3</v>
      </c>
    </row>
    <row r="8" spans="1:15" x14ac:dyDescent="0.25">
      <c r="A8" s="10" t="s">
        <v>130</v>
      </c>
      <c r="B8" s="10" t="s">
        <v>131</v>
      </c>
      <c r="C8" s="10" t="s">
        <v>129</v>
      </c>
      <c r="D8" s="10">
        <v>9520</v>
      </c>
      <c r="E8" s="10">
        <v>952</v>
      </c>
      <c r="F8" s="11">
        <f>1-E8/D8</f>
        <v>0.9</v>
      </c>
      <c r="G8" s="10">
        <v>4.4400000000000004E-3</v>
      </c>
      <c r="H8" s="10">
        <v>1.526E-3</v>
      </c>
      <c r="I8" s="10">
        <v>2.6849999999999999E-3</v>
      </c>
      <c r="J8" s="10">
        <v>5.764E-3</v>
      </c>
      <c r="K8" s="10">
        <v>1.0349999999999999E-3</v>
      </c>
      <c r="L8" s="10">
        <v>2.4390000000000002E-3</v>
      </c>
      <c r="M8" s="12">
        <f>MAX(G8,J8)</f>
        <v>5.764E-3</v>
      </c>
      <c r="N8" s="10">
        <v>1.08E-3</v>
      </c>
      <c r="O8" s="10">
        <v>2.4870000000000001E-3</v>
      </c>
    </row>
    <row r="10" spans="1:15" ht="30" customHeight="1" x14ac:dyDescent="0.25">
      <c r="A10" s="21" t="s">
        <v>132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</sheetData>
  <mergeCells count="1">
    <mergeCell ref="A10:O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" customWidth="1"/>
    <col min="2" max="2" width="12" customWidth="1"/>
    <col min="3" max="3" width="34" customWidth="1"/>
    <col min="4" max="12" width="10" customWidth="1"/>
    <col min="13" max="13" width="11" customWidth="1"/>
    <col min="14" max="14" width="13" customWidth="1"/>
    <col min="15" max="15" width="12" customWidth="1"/>
    <col min="16" max="16" width="10" customWidth="1"/>
    <col min="17" max="17" width="11" customWidth="1"/>
    <col min="18" max="18" width="12" customWidth="1"/>
    <col min="19" max="19" width="14" customWidth="1"/>
    <col min="20" max="20" width="18" customWidth="1"/>
  </cols>
  <sheetData>
    <row r="1" spans="1:20" ht="18" customHeight="1" x14ac:dyDescent="0.25">
      <c r="A1" s="8" t="s">
        <v>133</v>
      </c>
    </row>
    <row r="2" spans="1:20" x14ac:dyDescent="0.25">
      <c r="A2" s="9" t="s">
        <v>134</v>
      </c>
    </row>
    <row r="3" spans="1:20" x14ac:dyDescent="0.25">
      <c r="A3" s="13" t="s">
        <v>135</v>
      </c>
      <c r="D3" s="7">
        <v>0.01</v>
      </c>
    </row>
    <row r="5" spans="1:20" ht="30" customHeight="1" x14ac:dyDescent="0.25">
      <c r="A5" s="5" t="s">
        <v>34</v>
      </c>
      <c r="B5" s="5" t="s">
        <v>35</v>
      </c>
      <c r="C5" s="5" t="s">
        <v>136</v>
      </c>
      <c r="D5" s="5" t="s">
        <v>137</v>
      </c>
      <c r="E5" s="5" t="s">
        <v>138</v>
      </c>
      <c r="F5" s="5" t="s">
        <v>112</v>
      </c>
      <c r="G5" s="5" t="s">
        <v>139</v>
      </c>
      <c r="H5" s="5" t="s">
        <v>114</v>
      </c>
      <c r="I5" s="5" t="s">
        <v>115</v>
      </c>
      <c r="J5" s="5" t="s">
        <v>140</v>
      </c>
      <c r="K5" s="5" t="s">
        <v>117</v>
      </c>
      <c r="L5" s="5" t="s">
        <v>118</v>
      </c>
      <c r="M5" s="5" t="s">
        <v>119</v>
      </c>
      <c r="N5" s="5" t="s">
        <v>141</v>
      </c>
      <c r="O5" s="5" t="s">
        <v>142</v>
      </c>
      <c r="P5" s="5" t="s">
        <v>143</v>
      </c>
      <c r="Q5" s="5" t="s">
        <v>144</v>
      </c>
      <c r="R5" s="5" t="s">
        <v>145</v>
      </c>
      <c r="S5" s="5" t="s">
        <v>146</v>
      </c>
      <c r="T5" s="5" t="s">
        <v>147</v>
      </c>
    </row>
    <row r="6" spans="1:20" x14ac:dyDescent="0.25">
      <c r="A6" s="7" t="s">
        <v>45</v>
      </c>
      <c r="B6" s="7" t="s">
        <v>46</v>
      </c>
      <c r="C6" s="7" t="s">
        <v>148</v>
      </c>
      <c r="D6" s="7">
        <v>59996</v>
      </c>
      <c r="E6" s="7">
        <v>5999</v>
      </c>
      <c r="F6" s="14">
        <f t="shared" ref="F6:F43" si="0">IFERROR(1-E6/D6,"")</f>
        <v>0.90001000066671111</v>
      </c>
      <c r="G6" s="7">
        <v>1.638342</v>
      </c>
      <c r="H6" s="7">
        <v>0.157025</v>
      </c>
      <c r="I6" s="7">
        <v>0.46274799999999999</v>
      </c>
      <c r="J6" s="7">
        <v>1.8974869999999999</v>
      </c>
      <c r="K6" s="7">
        <v>0.17147499999999999</v>
      </c>
      <c r="L6" s="7">
        <v>0.51212999999999997</v>
      </c>
      <c r="M6" s="15">
        <f t="shared" ref="M6:M43" si="1">IFERROR(MAX(G6,J6),"")</f>
        <v>1.8974869999999999</v>
      </c>
      <c r="N6" s="7">
        <v>0</v>
      </c>
      <c r="O6" s="7">
        <v>0</v>
      </c>
      <c r="P6" s="7">
        <v>0</v>
      </c>
      <c r="Q6" s="7">
        <v>0.72799999999999998</v>
      </c>
      <c r="R6" s="15" t="str">
        <f t="shared" ref="R6:R43" si="2">IFERROR(IF(M6/S6&gt;$D$3,"Yes","No"),"")</f>
        <v>No</v>
      </c>
      <c r="S6" s="15">
        <f>Dataset!$J$2</f>
        <v>421.23719999999997</v>
      </c>
      <c r="T6" s="18">
        <f t="shared" ref="T6:T43" si="3">IFERROR(M6/S6*100,"")</f>
        <v>0.45045570524160733</v>
      </c>
    </row>
    <row r="7" spans="1:20" x14ac:dyDescent="0.25">
      <c r="A7" s="7" t="s">
        <v>45</v>
      </c>
      <c r="B7" s="7" t="s">
        <v>46</v>
      </c>
      <c r="C7" s="7" t="s">
        <v>149</v>
      </c>
      <c r="D7" s="7">
        <v>59996</v>
      </c>
      <c r="E7" s="7">
        <v>5999</v>
      </c>
      <c r="F7" s="14">
        <f t="shared" si="0"/>
        <v>0.90001000066671111</v>
      </c>
      <c r="G7" s="7">
        <v>1.638342</v>
      </c>
      <c r="H7" s="7">
        <v>0.157025</v>
      </c>
      <c r="I7" s="7">
        <v>0.46274799999999999</v>
      </c>
      <c r="J7" s="7">
        <v>1.8974869999999999</v>
      </c>
      <c r="K7" s="7">
        <v>0.17147499999999999</v>
      </c>
      <c r="L7" s="7">
        <v>0.51212999999999997</v>
      </c>
      <c r="M7" s="15">
        <f t="shared" si="1"/>
        <v>1.8974869999999999</v>
      </c>
      <c r="N7" s="7">
        <v>0</v>
      </c>
      <c r="O7" s="7">
        <v>0</v>
      </c>
      <c r="P7" s="7">
        <v>1</v>
      </c>
      <c r="Q7" s="7">
        <v>0.161</v>
      </c>
      <c r="R7" s="15" t="str">
        <f t="shared" si="2"/>
        <v>No</v>
      </c>
      <c r="S7" s="15">
        <f>Dataset!$J$2</f>
        <v>421.23719999999997</v>
      </c>
      <c r="T7" s="18">
        <f t="shared" si="3"/>
        <v>0.45045570524160733</v>
      </c>
    </row>
    <row r="8" spans="1:20" x14ac:dyDescent="0.25">
      <c r="A8" s="7" t="s">
        <v>150</v>
      </c>
      <c r="B8" s="7" t="s">
        <v>46</v>
      </c>
      <c r="C8" s="7" t="s">
        <v>148</v>
      </c>
      <c r="D8" s="7">
        <v>15000</v>
      </c>
      <c r="E8" s="7">
        <v>1500</v>
      </c>
      <c r="F8" s="14">
        <f t="shared" si="0"/>
        <v>0.9</v>
      </c>
      <c r="G8" s="7">
        <v>7.4329000000000006E-2</v>
      </c>
      <c r="H8" s="7">
        <v>1.3643000000000001E-2</v>
      </c>
      <c r="I8" s="7">
        <v>3.7330000000000002E-2</v>
      </c>
      <c r="J8" s="7">
        <v>8.8752999999999999E-2</v>
      </c>
      <c r="K8" s="7">
        <v>1.3415E-2</v>
      </c>
      <c r="L8" s="7">
        <v>3.6351000000000001E-2</v>
      </c>
      <c r="M8" s="15">
        <f t="shared" si="1"/>
        <v>8.8752999999999999E-2</v>
      </c>
      <c r="N8" s="7">
        <v>0</v>
      </c>
      <c r="O8" s="7">
        <v>0</v>
      </c>
      <c r="P8" s="7">
        <v>0</v>
      </c>
      <c r="Q8" s="7">
        <v>0.14099999999999999</v>
      </c>
      <c r="R8" s="15" t="str">
        <f t="shared" si="2"/>
        <v>No</v>
      </c>
      <c r="S8" s="15">
        <f>Dataset!$J$3</f>
        <v>19.521100000000001</v>
      </c>
      <c r="T8" s="18">
        <f t="shared" si="3"/>
        <v>0.45465163336082492</v>
      </c>
    </row>
    <row r="9" spans="1:20" x14ac:dyDescent="0.25">
      <c r="A9" s="7" t="s">
        <v>150</v>
      </c>
      <c r="B9" s="7" t="s">
        <v>46</v>
      </c>
      <c r="C9" s="7" t="s">
        <v>149</v>
      </c>
      <c r="D9" s="7">
        <v>15000</v>
      </c>
      <c r="E9" s="7">
        <v>1500</v>
      </c>
      <c r="F9" s="14">
        <f t="shared" si="0"/>
        <v>0.9</v>
      </c>
      <c r="G9" s="7">
        <v>7.4329000000000006E-2</v>
      </c>
      <c r="H9" s="7">
        <v>1.3643000000000001E-2</v>
      </c>
      <c r="I9" s="7">
        <v>3.7330000000000002E-2</v>
      </c>
      <c r="J9" s="7">
        <v>8.8752999999999999E-2</v>
      </c>
      <c r="K9" s="7">
        <v>1.3415E-2</v>
      </c>
      <c r="L9" s="7">
        <v>3.6351000000000001E-2</v>
      </c>
      <c r="M9" s="15">
        <f t="shared" si="1"/>
        <v>8.8752999999999999E-2</v>
      </c>
      <c r="N9" s="7">
        <v>0</v>
      </c>
      <c r="O9" s="7">
        <v>0</v>
      </c>
      <c r="P9" s="7">
        <v>1</v>
      </c>
      <c r="Q9" s="7">
        <v>3.7999999999999999E-2</v>
      </c>
      <c r="R9" s="15" t="str">
        <f t="shared" si="2"/>
        <v>No</v>
      </c>
      <c r="S9" s="15">
        <f>Dataset!$J$3</f>
        <v>19.521100000000001</v>
      </c>
      <c r="T9" s="18">
        <f t="shared" si="3"/>
        <v>0.45465163336082492</v>
      </c>
    </row>
    <row r="10" spans="1:20" x14ac:dyDescent="0.25">
      <c r="A10" s="7" t="s">
        <v>55</v>
      </c>
      <c r="B10" s="7" t="s">
        <v>46</v>
      </c>
      <c r="C10" s="7" t="s">
        <v>148</v>
      </c>
      <c r="D10" s="7">
        <v>130504</v>
      </c>
      <c r="E10" s="7">
        <v>13049</v>
      </c>
      <c r="F10" s="14">
        <f t="shared" si="0"/>
        <v>0.90001072764053214</v>
      </c>
      <c r="G10" s="7">
        <v>0.31933800000000001</v>
      </c>
      <c r="H10" s="7">
        <v>4.0863999999999998E-2</v>
      </c>
      <c r="I10" s="7">
        <v>0.11284</v>
      </c>
      <c r="J10" s="7">
        <v>0.35994500000000001</v>
      </c>
      <c r="K10" s="7">
        <v>4.0035000000000001E-2</v>
      </c>
      <c r="L10" s="7">
        <v>0.111773</v>
      </c>
      <c r="M10" s="15">
        <f t="shared" si="1"/>
        <v>0.35994500000000001</v>
      </c>
      <c r="N10" s="7">
        <v>0</v>
      </c>
      <c r="O10" s="7">
        <v>0</v>
      </c>
      <c r="P10" s="7">
        <v>0</v>
      </c>
      <c r="Q10" s="7">
        <v>1.4219999999999999</v>
      </c>
      <c r="R10" s="15" t="str">
        <f t="shared" si="2"/>
        <v>No</v>
      </c>
      <c r="S10" s="15">
        <f>Dataset!$J$4</f>
        <v>156.50190000000001</v>
      </c>
      <c r="T10" s="18">
        <f t="shared" si="3"/>
        <v>0.22999401285224014</v>
      </c>
    </row>
    <row r="11" spans="1:20" x14ac:dyDescent="0.25">
      <c r="A11" s="7" t="s">
        <v>55</v>
      </c>
      <c r="B11" s="7" t="s">
        <v>46</v>
      </c>
      <c r="C11" s="7" t="s">
        <v>149</v>
      </c>
      <c r="D11" s="7">
        <v>130504</v>
      </c>
      <c r="E11" s="7">
        <v>13049</v>
      </c>
      <c r="F11" s="14">
        <f t="shared" si="0"/>
        <v>0.90001072764053214</v>
      </c>
      <c r="G11" s="7">
        <v>0.31933800000000001</v>
      </c>
      <c r="H11" s="7">
        <v>4.0863999999999998E-2</v>
      </c>
      <c r="I11" s="7">
        <v>0.11284</v>
      </c>
      <c r="J11" s="7">
        <v>0.35994500000000001</v>
      </c>
      <c r="K11" s="7">
        <v>4.0035000000000001E-2</v>
      </c>
      <c r="L11" s="7">
        <v>0.111773</v>
      </c>
      <c r="M11" s="15">
        <f t="shared" si="1"/>
        <v>0.35994500000000001</v>
      </c>
      <c r="N11" s="7">
        <v>0</v>
      </c>
      <c r="O11" s="7">
        <v>0</v>
      </c>
      <c r="P11" s="7">
        <v>1</v>
      </c>
      <c r="Q11" s="7">
        <v>0.33200000000000002</v>
      </c>
      <c r="R11" s="15" t="str">
        <f t="shared" si="2"/>
        <v>No</v>
      </c>
      <c r="S11" s="15">
        <f>Dataset!$J$4</f>
        <v>156.50190000000001</v>
      </c>
      <c r="T11" s="18">
        <f t="shared" si="3"/>
        <v>0.22999401285224014</v>
      </c>
    </row>
    <row r="12" spans="1:20" x14ac:dyDescent="0.25">
      <c r="A12" s="7" t="s">
        <v>58</v>
      </c>
      <c r="B12" s="7" t="s">
        <v>59</v>
      </c>
      <c r="C12" s="7" t="s">
        <v>148</v>
      </c>
      <c r="D12" s="7">
        <v>1473</v>
      </c>
      <c r="E12" s="7">
        <v>146</v>
      </c>
      <c r="F12" s="14">
        <f t="shared" si="0"/>
        <v>0.90088255261371353</v>
      </c>
      <c r="G12" s="7">
        <v>7.9154540000000004</v>
      </c>
      <c r="H12" s="7">
        <v>0.52989399999999998</v>
      </c>
      <c r="I12" s="7">
        <v>3.6221510000000001</v>
      </c>
      <c r="J12" s="7">
        <v>9.7635E-2</v>
      </c>
      <c r="K12" s="7">
        <v>1.7007999999999999E-2</v>
      </c>
      <c r="L12" s="7">
        <v>8.4768999999999997E-2</v>
      </c>
      <c r="M12" s="15">
        <f t="shared" si="1"/>
        <v>7.9154540000000004</v>
      </c>
      <c r="N12" s="7">
        <v>0</v>
      </c>
      <c r="O12" s="7">
        <v>0</v>
      </c>
      <c r="P12" s="7">
        <v>0</v>
      </c>
      <c r="Q12" s="7">
        <v>1.9E-2</v>
      </c>
      <c r="R12" s="15" t="str">
        <f t="shared" si="2"/>
        <v>Yes</v>
      </c>
      <c r="S12" s="15">
        <f>Dataset!$J$5</f>
        <v>1.2944</v>
      </c>
      <c r="T12" s="18">
        <f t="shared" si="3"/>
        <v>611.51529666254646</v>
      </c>
    </row>
    <row r="13" spans="1:20" x14ac:dyDescent="0.25">
      <c r="A13" s="7" t="s">
        <v>58</v>
      </c>
      <c r="B13" s="7" t="s">
        <v>59</v>
      </c>
      <c r="C13" s="7" t="s">
        <v>149</v>
      </c>
      <c r="D13" s="7">
        <v>1473</v>
      </c>
      <c r="E13" s="7">
        <v>1468</v>
      </c>
      <c r="F13" s="14">
        <f t="shared" si="0"/>
        <v>3.3944331296673624E-3</v>
      </c>
      <c r="G13" s="7">
        <v>0.14741199999999999</v>
      </c>
      <c r="H13" s="7">
        <v>1.6620000000000001E-3</v>
      </c>
      <c r="I13" s="7">
        <v>6.6140000000000001E-3</v>
      </c>
      <c r="J13" s="7">
        <v>9.0790000000000003E-3</v>
      </c>
      <c r="K13" s="7">
        <v>3.9199999999999999E-4</v>
      </c>
      <c r="L13" s="7">
        <v>3.2729999999999999E-3</v>
      </c>
      <c r="M13" s="15">
        <f t="shared" si="1"/>
        <v>0.14741199999999999</v>
      </c>
      <c r="N13" s="7">
        <v>0</v>
      </c>
      <c r="O13" s="7">
        <v>619</v>
      </c>
      <c r="P13" s="7">
        <v>3</v>
      </c>
      <c r="Q13" s="7">
        <v>8.5999999999999993E-2</v>
      </c>
      <c r="R13" s="15" t="str">
        <f t="shared" si="2"/>
        <v>Yes</v>
      </c>
      <c r="S13" s="15">
        <f>Dataset!$J$5</f>
        <v>1.2944</v>
      </c>
      <c r="T13" s="18">
        <f t="shared" si="3"/>
        <v>11.388442521631644</v>
      </c>
    </row>
    <row r="14" spans="1:20" x14ac:dyDescent="0.25">
      <c r="A14" s="7" t="s">
        <v>62</v>
      </c>
      <c r="B14" s="7" t="s">
        <v>59</v>
      </c>
      <c r="C14" s="7" t="s">
        <v>148</v>
      </c>
      <c r="D14" s="7">
        <v>13790</v>
      </c>
      <c r="E14" s="7">
        <v>1376</v>
      </c>
      <c r="F14" s="14">
        <f t="shared" si="0"/>
        <v>0.90021754894851336</v>
      </c>
      <c r="G14" s="7">
        <v>1.9303000000000001E-2</v>
      </c>
      <c r="H14" s="7">
        <v>1.0740000000000001E-3</v>
      </c>
      <c r="I14" s="7">
        <v>4.1910000000000003E-3</v>
      </c>
      <c r="J14" s="7">
        <v>2.0695999999999999E-2</v>
      </c>
      <c r="K14" s="7">
        <v>1.059E-3</v>
      </c>
      <c r="L14" s="7">
        <v>3.9490000000000003E-3</v>
      </c>
      <c r="M14" s="15">
        <f t="shared" si="1"/>
        <v>2.0695999999999999E-2</v>
      </c>
      <c r="N14" s="7">
        <v>0</v>
      </c>
      <c r="O14" s="7">
        <v>0</v>
      </c>
      <c r="P14" s="7">
        <v>0</v>
      </c>
      <c r="Q14" s="7">
        <v>0.218</v>
      </c>
      <c r="R14" s="15" t="str">
        <f t="shared" si="2"/>
        <v>Yes</v>
      </c>
      <c r="S14" s="15">
        <f>Dataset!$J$6</f>
        <v>0.33339999999999997</v>
      </c>
      <c r="T14" s="18">
        <f t="shared" si="3"/>
        <v>6.2075584883023405</v>
      </c>
    </row>
    <row r="15" spans="1:20" x14ac:dyDescent="0.25">
      <c r="A15" s="7" t="s">
        <v>62</v>
      </c>
      <c r="B15" s="7" t="s">
        <v>59</v>
      </c>
      <c r="C15" s="7" t="s">
        <v>149</v>
      </c>
      <c r="D15" s="7">
        <v>13790</v>
      </c>
      <c r="E15" s="7">
        <v>5231</v>
      </c>
      <c r="F15" s="14">
        <f t="shared" si="0"/>
        <v>0.62066715010877449</v>
      </c>
      <c r="G15" s="7">
        <v>7.9950000000000004E-3</v>
      </c>
      <c r="H15" s="7">
        <v>4.0499999999999998E-4</v>
      </c>
      <c r="I15" s="7">
        <v>1.804E-3</v>
      </c>
      <c r="J15" s="7">
        <v>4.1469999999999996E-3</v>
      </c>
      <c r="K15" s="7">
        <v>3.8999999999999999E-4</v>
      </c>
      <c r="L15" s="7">
        <v>1.3600000000000001E-3</v>
      </c>
      <c r="M15" s="15">
        <f t="shared" si="1"/>
        <v>7.9950000000000004E-3</v>
      </c>
      <c r="N15" s="7">
        <v>0</v>
      </c>
      <c r="O15" s="7">
        <v>865</v>
      </c>
      <c r="P15" s="7">
        <v>3</v>
      </c>
      <c r="Q15" s="7">
        <v>0.81</v>
      </c>
      <c r="R15" s="15" t="str">
        <f t="shared" si="2"/>
        <v>Yes</v>
      </c>
      <c r="S15" s="15">
        <f>Dataset!$J$6</f>
        <v>0.33339999999999997</v>
      </c>
      <c r="T15" s="18">
        <f t="shared" si="3"/>
        <v>2.3980203959208164</v>
      </c>
    </row>
    <row r="16" spans="1:20" x14ac:dyDescent="0.25">
      <c r="A16" s="7" t="s">
        <v>64</v>
      </c>
      <c r="B16" s="7" t="s">
        <v>59</v>
      </c>
      <c r="C16" s="7" t="s">
        <v>148</v>
      </c>
      <c r="D16" s="7">
        <v>2752</v>
      </c>
      <c r="E16" s="7">
        <v>273</v>
      </c>
      <c r="F16" s="14">
        <f t="shared" si="0"/>
        <v>0.90079941860465118</v>
      </c>
      <c r="G16" s="7">
        <v>9.6729999999999993E-3</v>
      </c>
      <c r="H16" s="7">
        <v>1.665E-3</v>
      </c>
      <c r="I16" s="7">
        <v>4.8780000000000004E-3</v>
      </c>
      <c r="J16" s="7">
        <v>1.0291E-2</v>
      </c>
      <c r="K16" s="7">
        <v>1.557E-3</v>
      </c>
      <c r="L16" s="7">
        <v>4.725E-3</v>
      </c>
      <c r="M16" s="15">
        <f t="shared" si="1"/>
        <v>1.0291E-2</v>
      </c>
      <c r="N16" s="7">
        <v>0</v>
      </c>
      <c r="O16" s="7">
        <v>0</v>
      </c>
      <c r="P16" s="7">
        <v>0</v>
      </c>
      <c r="Q16" s="7">
        <v>3.1E-2</v>
      </c>
      <c r="R16" s="15" t="str">
        <f t="shared" si="2"/>
        <v>Yes</v>
      </c>
      <c r="S16" s="15">
        <f>Dataset!$J$7</f>
        <v>0.1565</v>
      </c>
      <c r="T16" s="18">
        <f t="shared" si="3"/>
        <v>6.5757188498402552</v>
      </c>
    </row>
    <row r="17" spans="1:20" x14ac:dyDescent="0.25">
      <c r="A17" s="7" t="s">
        <v>64</v>
      </c>
      <c r="B17" s="7" t="s">
        <v>59</v>
      </c>
      <c r="C17" s="7" t="s">
        <v>149</v>
      </c>
      <c r="D17" s="7">
        <v>2752</v>
      </c>
      <c r="E17" s="7">
        <v>2790</v>
      </c>
      <c r="F17" s="14">
        <f t="shared" si="0"/>
        <v>-1.380813953488369E-2</v>
      </c>
      <c r="G17" s="7">
        <v>1.918E-3</v>
      </c>
      <c r="H17" s="7">
        <v>2.0999999999999999E-5</v>
      </c>
      <c r="I17" s="7">
        <v>1.0399999999999999E-4</v>
      </c>
      <c r="J17" s="7">
        <v>1.024E-3</v>
      </c>
      <c r="K17" s="7">
        <v>1.0000000000000001E-5</v>
      </c>
      <c r="L17" s="7">
        <v>3.4999999999999997E-5</v>
      </c>
      <c r="M17" s="15">
        <f t="shared" si="1"/>
        <v>1.918E-3</v>
      </c>
      <c r="N17" s="7">
        <v>0</v>
      </c>
      <c r="O17" s="7">
        <v>993</v>
      </c>
      <c r="P17" s="7">
        <v>3</v>
      </c>
      <c r="Q17" s="7">
        <v>0.112</v>
      </c>
      <c r="R17" s="15" t="str">
        <f t="shared" si="2"/>
        <v>Yes</v>
      </c>
      <c r="S17" s="15">
        <f>Dataset!$J$7</f>
        <v>0.1565</v>
      </c>
      <c r="T17" s="18">
        <f t="shared" si="3"/>
        <v>1.22555910543131</v>
      </c>
    </row>
    <row r="18" spans="1:20" x14ac:dyDescent="0.25">
      <c r="A18" s="7" t="s">
        <v>66</v>
      </c>
      <c r="B18" s="7" t="s">
        <v>67</v>
      </c>
      <c r="C18" s="7" t="s">
        <v>148</v>
      </c>
      <c r="D18" s="7">
        <v>3410</v>
      </c>
      <c r="E18" s="7">
        <v>341</v>
      </c>
      <c r="F18" s="14">
        <f t="shared" si="0"/>
        <v>0.9</v>
      </c>
      <c r="G18" s="7">
        <v>0.120907</v>
      </c>
      <c r="H18" s="7">
        <v>1.585E-3</v>
      </c>
      <c r="I18" s="7">
        <v>3.571E-3</v>
      </c>
      <c r="J18" s="7">
        <v>1.2182E-2</v>
      </c>
      <c r="K18" s="7">
        <v>2.637E-3</v>
      </c>
      <c r="L18" s="7">
        <v>8.659E-3</v>
      </c>
      <c r="M18" s="15">
        <f t="shared" si="1"/>
        <v>0.120907</v>
      </c>
      <c r="N18" s="7">
        <v>0</v>
      </c>
      <c r="O18" s="7">
        <v>0</v>
      </c>
      <c r="P18" s="7">
        <v>0</v>
      </c>
      <c r="Q18" s="7">
        <v>0.04</v>
      </c>
      <c r="R18" s="15" t="str">
        <f t="shared" si="2"/>
        <v>Yes</v>
      </c>
      <c r="S18" s="15">
        <f>Dataset!$J$8</f>
        <v>0.8175</v>
      </c>
      <c r="T18" s="18">
        <f t="shared" si="3"/>
        <v>14.789847094801223</v>
      </c>
    </row>
    <row r="19" spans="1:20" x14ac:dyDescent="0.25">
      <c r="A19" s="7" t="s">
        <v>66</v>
      </c>
      <c r="B19" s="7" t="s">
        <v>67</v>
      </c>
      <c r="C19" s="7" t="s">
        <v>149</v>
      </c>
      <c r="D19" s="7">
        <v>3410</v>
      </c>
      <c r="E19" s="7">
        <v>1066</v>
      </c>
      <c r="F19" s="14">
        <f t="shared" si="0"/>
        <v>0.68739002932551319</v>
      </c>
      <c r="G19" s="7">
        <v>6.2509999999999996E-3</v>
      </c>
      <c r="H19" s="7">
        <v>6.3000000000000003E-4</v>
      </c>
      <c r="I19" s="7">
        <v>2.7200000000000002E-3</v>
      </c>
      <c r="J19" s="7">
        <v>6.8649999999999996E-3</v>
      </c>
      <c r="K19" s="7">
        <v>1.544E-3</v>
      </c>
      <c r="L19" s="7">
        <v>4.8919999999999996E-3</v>
      </c>
      <c r="M19" s="15">
        <f t="shared" si="1"/>
        <v>6.8649999999999996E-3</v>
      </c>
      <c r="N19" s="7">
        <v>0</v>
      </c>
      <c r="O19" s="7">
        <v>141</v>
      </c>
      <c r="P19" s="7">
        <v>2</v>
      </c>
      <c r="Q19" s="7">
        <v>6.5000000000000002E-2</v>
      </c>
      <c r="R19" s="15" t="str">
        <f t="shared" si="2"/>
        <v>No</v>
      </c>
      <c r="S19" s="15">
        <f>Dataset!$J$8</f>
        <v>0.8175</v>
      </c>
      <c r="T19" s="18">
        <f t="shared" si="3"/>
        <v>0.83975535168195714</v>
      </c>
    </row>
    <row r="20" spans="1:20" x14ac:dyDescent="0.25">
      <c r="A20" s="7" t="s">
        <v>69</v>
      </c>
      <c r="B20" s="7" t="s">
        <v>67</v>
      </c>
      <c r="C20" s="7" t="s">
        <v>148</v>
      </c>
      <c r="D20" s="7">
        <v>2926</v>
      </c>
      <c r="E20" s="7">
        <v>292</v>
      </c>
      <c r="F20" s="14">
        <f t="shared" si="0"/>
        <v>0.9002050580997949</v>
      </c>
      <c r="G20" s="7">
        <v>4.5407000000000003E-2</v>
      </c>
      <c r="H20" s="7">
        <v>1.519E-3</v>
      </c>
      <c r="I20" s="7">
        <v>4.9630000000000004E-3</v>
      </c>
      <c r="J20" s="7">
        <v>1.3735000000000001E-2</v>
      </c>
      <c r="K20" s="7">
        <v>1.745E-3</v>
      </c>
      <c r="L20" s="7">
        <v>5.2760000000000003E-3</v>
      </c>
      <c r="M20" s="15">
        <f t="shared" si="1"/>
        <v>4.5407000000000003E-2</v>
      </c>
      <c r="N20" s="7">
        <v>0</v>
      </c>
      <c r="O20" s="7">
        <v>0</v>
      </c>
      <c r="P20" s="7">
        <v>0</v>
      </c>
      <c r="Q20" s="7">
        <v>3.6999999999999998E-2</v>
      </c>
      <c r="R20" s="15" t="str">
        <f t="shared" si="2"/>
        <v>Yes</v>
      </c>
      <c r="S20" s="15">
        <f>Dataset!$J$9</f>
        <v>0.26540000000000002</v>
      </c>
      <c r="T20" s="18">
        <f t="shared" si="3"/>
        <v>17.108892238131123</v>
      </c>
    </row>
    <row r="21" spans="1:20" x14ac:dyDescent="0.25">
      <c r="A21" s="7" t="s">
        <v>69</v>
      </c>
      <c r="B21" s="7" t="s">
        <v>67</v>
      </c>
      <c r="C21" s="7" t="s">
        <v>149</v>
      </c>
      <c r="D21" s="7">
        <v>2926</v>
      </c>
      <c r="E21" s="7">
        <v>2730</v>
      </c>
      <c r="F21" s="14">
        <f t="shared" si="0"/>
        <v>6.6985645933014371E-2</v>
      </c>
      <c r="G21" s="7">
        <v>1.3249E-2</v>
      </c>
      <c r="H21" s="7">
        <v>3.3399999999999999E-4</v>
      </c>
      <c r="I21" s="7">
        <v>1.8649999999999999E-3</v>
      </c>
      <c r="J21" s="7">
        <v>3.009E-3</v>
      </c>
      <c r="K21" s="7">
        <v>1.3300000000000001E-4</v>
      </c>
      <c r="L21" s="7">
        <v>8.3000000000000001E-4</v>
      </c>
      <c r="M21" s="15">
        <f t="shared" si="1"/>
        <v>1.3249E-2</v>
      </c>
      <c r="N21" s="7">
        <v>0</v>
      </c>
      <c r="O21" s="7">
        <v>861</v>
      </c>
      <c r="P21" s="7">
        <v>3</v>
      </c>
      <c r="Q21" s="7">
        <v>0.129</v>
      </c>
      <c r="R21" s="15" t="str">
        <f t="shared" si="2"/>
        <v>Yes</v>
      </c>
      <c r="S21" s="15">
        <f>Dataset!$J$9</f>
        <v>0.26540000000000002</v>
      </c>
      <c r="T21" s="18">
        <f t="shared" si="3"/>
        <v>4.992087415222306</v>
      </c>
    </row>
    <row r="22" spans="1:20" x14ac:dyDescent="0.25">
      <c r="A22" s="7" t="s">
        <v>71</v>
      </c>
      <c r="B22" s="7" t="s">
        <v>72</v>
      </c>
      <c r="C22" s="7" t="s">
        <v>148</v>
      </c>
      <c r="D22" s="7">
        <v>211874</v>
      </c>
      <c r="E22" s="7">
        <v>21172</v>
      </c>
      <c r="F22" s="14">
        <f t="shared" si="0"/>
        <v>0.90007268470883639</v>
      </c>
      <c r="G22" s="7">
        <v>4.7434999999999998E-2</v>
      </c>
      <c r="H22" s="7">
        <v>5.4799999999999998E-4</v>
      </c>
      <c r="I22" s="7">
        <v>2.3040000000000001E-3</v>
      </c>
      <c r="J22" s="7">
        <v>5.0117000000000002E-2</v>
      </c>
      <c r="K22" s="7">
        <v>3.483E-3</v>
      </c>
      <c r="L22" s="7">
        <v>1.7822999999999999E-2</v>
      </c>
      <c r="M22" s="15">
        <f t="shared" si="1"/>
        <v>5.0117000000000002E-2</v>
      </c>
      <c r="N22" s="7">
        <v>0</v>
      </c>
      <c r="O22" s="7">
        <v>0</v>
      </c>
      <c r="P22" s="7">
        <v>0</v>
      </c>
      <c r="Q22" s="7">
        <v>2.7069999999999999</v>
      </c>
      <c r="R22" s="15" t="str">
        <f t="shared" si="2"/>
        <v>Yes</v>
      </c>
      <c r="S22" s="15">
        <f>Dataset!$J$10</f>
        <v>2.2942</v>
      </c>
      <c r="T22" s="18">
        <f t="shared" si="3"/>
        <v>2.184508761223956</v>
      </c>
    </row>
    <row r="23" spans="1:20" x14ac:dyDescent="0.25">
      <c r="A23" s="7" t="s">
        <v>71</v>
      </c>
      <c r="B23" s="7" t="s">
        <v>72</v>
      </c>
      <c r="C23" s="7" t="s">
        <v>149</v>
      </c>
      <c r="D23" s="7">
        <v>211874</v>
      </c>
      <c r="E23" s="7">
        <v>42555</v>
      </c>
      <c r="F23" s="14">
        <f t="shared" si="0"/>
        <v>0.79914949451088857</v>
      </c>
      <c r="G23" s="7">
        <v>5.5662999999999997E-2</v>
      </c>
      <c r="H23" s="7">
        <v>7.6000000000000004E-4</v>
      </c>
      <c r="I23" s="7">
        <v>3.7959999999999999E-3</v>
      </c>
      <c r="J23" s="7">
        <v>2.1922000000000001E-2</v>
      </c>
      <c r="K23" s="7">
        <v>1.407E-3</v>
      </c>
      <c r="L23" s="7">
        <v>5.9709999999999997E-3</v>
      </c>
      <c r="M23" s="15">
        <f t="shared" si="1"/>
        <v>5.5662999999999997E-2</v>
      </c>
      <c r="N23" s="7">
        <v>0</v>
      </c>
      <c r="O23" s="7">
        <v>4149</v>
      </c>
      <c r="P23" s="7">
        <v>3</v>
      </c>
      <c r="Q23" s="7">
        <v>9.923</v>
      </c>
      <c r="R23" s="15" t="str">
        <f t="shared" si="2"/>
        <v>Yes</v>
      </c>
      <c r="S23" s="15">
        <f>Dataset!$J$10</f>
        <v>2.2942</v>
      </c>
      <c r="T23" s="18">
        <f t="shared" si="3"/>
        <v>2.4262488013250807</v>
      </c>
    </row>
    <row r="24" spans="1:20" x14ac:dyDescent="0.25">
      <c r="A24" s="7" t="s">
        <v>75</v>
      </c>
      <c r="B24" s="7" t="s">
        <v>72</v>
      </c>
      <c r="C24" s="7" t="s">
        <v>148</v>
      </c>
      <c r="D24" s="7">
        <v>446670</v>
      </c>
      <c r="E24" s="7">
        <v>44633</v>
      </c>
      <c r="F24" s="14">
        <f t="shared" si="0"/>
        <v>0.9000761188349341</v>
      </c>
      <c r="G24" s="7">
        <v>2.4506E-2</v>
      </c>
      <c r="H24" s="7">
        <v>3.7500000000000001E-4</v>
      </c>
      <c r="I24" s="7">
        <v>1.4350000000000001E-3</v>
      </c>
      <c r="J24" s="7">
        <v>3.6756999999999998E-2</v>
      </c>
      <c r="K24" s="7">
        <v>1.1379999999999999E-3</v>
      </c>
      <c r="L24" s="7">
        <v>4.7889999999999999E-3</v>
      </c>
      <c r="M24" s="15">
        <f t="shared" si="1"/>
        <v>3.6756999999999998E-2</v>
      </c>
      <c r="N24" s="7">
        <v>0</v>
      </c>
      <c r="O24" s="7">
        <v>0</v>
      </c>
      <c r="P24" s="7">
        <v>0</v>
      </c>
      <c r="Q24" s="7">
        <v>5.7249999999999996</v>
      </c>
      <c r="R24" s="15" t="str">
        <f t="shared" si="2"/>
        <v>Yes</v>
      </c>
      <c r="S24" s="15">
        <f>Dataset!$J$11</f>
        <v>1.8779999999999999</v>
      </c>
      <c r="T24" s="18">
        <f t="shared" si="3"/>
        <v>1.9572417465388712</v>
      </c>
    </row>
    <row r="25" spans="1:20" x14ac:dyDescent="0.25">
      <c r="A25" s="7" t="s">
        <v>75</v>
      </c>
      <c r="B25" s="7" t="s">
        <v>72</v>
      </c>
      <c r="C25" s="7" t="s">
        <v>149</v>
      </c>
      <c r="D25" s="7">
        <v>446670</v>
      </c>
      <c r="E25" s="7">
        <v>150195</v>
      </c>
      <c r="F25" s="14">
        <f t="shared" si="0"/>
        <v>0.66374504667875611</v>
      </c>
      <c r="G25" s="7">
        <v>0.221384</v>
      </c>
      <c r="H25" s="7">
        <v>1.9595999999999999E-2</v>
      </c>
      <c r="I25" s="7">
        <v>0.15328600000000001</v>
      </c>
      <c r="J25" s="7">
        <v>1.8332000000000001E-2</v>
      </c>
      <c r="K25" s="7">
        <v>6.9999999999999999E-4</v>
      </c>
      <c r="L25" s="7">
        <v>3.1199999999999999E-3</v>
      </c>
      <c r="M25" s="15">
        <f t="shared" si="1"/>
        <v>0.221384</v>
      </c>
      <c r="N25" s="7">
        <v>0</v>
      </c>
      <c r="O25" s="7">
        <v>15225</v>
      </c>
      <c r="P25" s="7">
        <v>3</v>
      </c>
      <c r="Q25" s="7">
        <v>140.315</v>
      </c>
      <c r="R25" s="15" t="str">
        <f t="shared" si="2"/>
        <v>Yes</v>
      </c>
      <c r="S25" s="15">
        <f>Dataset!$J$11</f>
        <v>1.8779999999999999</v>
      </c>
      <c r="T25" s="18">
        <f t="shared" si="3"/>
        <v>11.78828541001065</v>
      </c>
    </row>
    <row r="26" spans="1:20" x14ac:dyDescent="0.25">
      <c r="A26" t="s">
        <v>78</v>
      </c>
      <c r="B26" t="s">
        <v>72</v>
      </c>
      <c r="C26" t="s">
        <v>148</v>
      </c>
      <c r="D26">
        <v>108958</v>
      </c>
      <c r="E26">
        <v>10890</v>
      </c>
      <c r="F26">
        <f t="shared" si="0"/>
        <v>0.9000532315204024</v>
      </c>
      <c r="G26">
        <v>2.859E-3</v>
      </c>
      <c r="H26">
        <v>3.0899999999999998E-4</v>
      </c>
      <c r="I26">
        <v>1E-3</v>
      </c>
      <c r="J26">
        <v>3.7810000000000001E-3</v>
      </c>
      <c r="K26">
        <v>3.8900000000000002E-4</v>
      </c>
      <c r="L26">
        <v>1.1379999999999999E-3</v>
      </c>
      <c r="M26">
        <f t="shared" si="1"/>
        <v>3.7810000000000001E-3</v>
      </c>
      <c r="N26">
        <v>0</v>
      </c>
      <c r="O26">
        <v>0</v>
      </c>
      <c r="P26">
        <v>0</v>
      </c>
      <c r="Q26">
        <v>1.2390000000000001</v>
      </c>
      <c r="R26" t="str">
        <f t="shared" si="2"/>
        <v>No</v>
      </c>
      <c r="S26" s="19">
        <f>Dataset!$J$12</f>
        <v>1.6142000000000001</v>
      </c>
      <c r="T26" s="20">
        <f t="shared" si="3"/>
        <v>0.23423367612439597</v>
      </c>
    </row>
    <row r="27" spans="1:20" x14ac:dyDescent="0.25">
      <c r="A27" s="13" t="s">
        <v>78</v>
      </c>
      <c r="B27" t="s">
        <v>72</v>
      </c>
      <c r="C27" t="s">
        <v>149</v>
      </c>
      <c r="D27">
        <v>108958</v>
      </c>
      <c r="E27">
        <v>10890</v>
      </c>
      <c r="F27">
        <f t="shared" si="0"/>
        <v>0.9000532315204024</v>
      </c>
      <c r="G27">
        <v>2.859E-3</v>
      </c>
      <c r="H27">
        <v>3.0899999999999998E-4</v>
      </c>
      <c r="I27">
        <v>1E-3</v>
      </c>
      <c r="J27">
        <v>3.7810000000000001E-3</v>
      </c>
      <c r="K27">
        <v>3.8900000000000002E-4</v>
      </c>
      <c r="L27">
        <v>1.1379999999999999E-3</v>
      </c>
      <c r="M27">
        <f t="shared" si="1"/>
        <v>3.7810000000000001E-3</v>
      </c>
      <c r="N27">
        <v>0</v>
      </c>
      <c r="O27">
        <v>0</v>
      </c>
      <c r="P27">
        <v>1</v>
      </c>
      <c r="Q27">
        <v>0.34499999999999997</v>
      </c>
      <c r="R27" t="str">
        <f t="shared" si="2"/>
        <v>No</v>
      </c>
      <c r="S27" s="19">
        <f>Dataset!$J$12</f>
        <v>1.6142000000000001</v>
      </c>
      <c r="T27" s="20">
        <f t="shared" si="3"/>
        <v>0.23423367612439597</v>
      </c>
    </row>
    <row r="28" spans="1:20" x14ac:dyDescent="0.25">
      <c r="A28" s="16" t="s">
        <v>80</v>
      </c>
      <c r="B28" s="17" t="s">
        <v>72</v>
      </c>
      <c r="C28" t="s">
        <v>148</v>
      </c>
      <c r="D28">
        <v>405680</v>
      </c>
      <c r="E28">
        <v>40563</v>
      </c>
      <c r="F28">
        <f t="shared" si="0"/>
        <v>0.90001232498521</v>
      </c>
      <c r="G28">
        <v>2.0625000000000001E-2</v>
      </c>
      <c r="H28">
        <v>9.8999999999999999E-4</v>
      </c>
      <c r="I28">
        <v>3.8470000000000002E-3</v>
      </c>
      <c r="J28">
        <v>5.0375999999999997E-2</v>
      </c>
      <c r="K28">
        <v>1.4059999999999999E-3</v>
      </c>
      <c r="L28">
        <v>4.999E-3</v>
      </c>
      <c r="M28">
        <f t="shared" si="1"/>
        <v>5.0375999999999997E-2</v>
      </c>
      <c r="N28">
        <v>0</v>
      </c>
      <c r="O28">
        <v>0</v>
      </c>
      <c r="P28">
        <v>0</v>
      </c>
      <c r="Q28">
        <v>8.0739999999999998</v>
      </c>
      <c r="R28" t="str">
        <f t="shared" si="2"/>
        <v>Yes</v>
      </c>
      <c r="S28" s="19">
        <f>Dataset!$J$13</f>
        <v>4.8654000000000002</v>
      </c>
      <c r="T28" s="20">
        <f t="shared" si="3"/>
        <v>1.0353927734615858</v>
      </c>
    </row>
    <row r="29" spans="1:20" x14ac:dyDescent="0.25">
      <c r="A29" s="16" t="s">
        <v>80</v>
      </c>
      <c r="B29" s="17" t="s">
        <v>72</v>
      </c>
      <c r="C29" t="s">
        <v>149</v>
      </c>
      <c r="D29">
        <v>405680</v>
      </c>
      <c r="E29">
        <v>98032</v>
      </c>
      <c r="F29">
        <f t="shared" si="0"/>
        <v>0.75835140997830797</v>
      </c>
      <c r="G29">
        <v>0.36501400000000001</v>
      </c>
      <c r="H29">
        <v>1.3302E-2</v>
      </c>
      <c r="I29">
        <v>0.108886</v>
      </c>
      <c r="J29">
        <v>3.5890999999999999E-2</v>
      </c>
      <c r="K29">
        <v>1.0380000000000001E-3</v>
      </c>
      <c r="L29">
        <v>3.859E-3</v>
      </c>
      <c r="M29">
        <f t="shared" si="1"/>
        <v>0.36501400000000001</v>
      </c>
      <c r="N29">
        <v>0</v>
      </c>
      <c r="O29">
        <v>4044</v>
      </c>
      <c r="P29">
        <v>3</v>
      </c>
      <c r="Q29">
        <v>80.122</v>
      </c>
      <c r="R29" t="str">
        <f t="shared" si="2"/>
        <v>Yes</v>
      </c>
      <c r="S29" s="19">
        <f>Dataset!$J$13</f>
        <v>4.8654000000000002</v>
      </c>
      <c r="T29" s="20">
        <f t="shared" si="3"/>
        <v>7.5022403091215519</v>
      </c>
    </row>
    <row r="30" spans="1:20" x14ac:dyDescent="0.25">
      <c r="A30" t="s">
        <v>83</v>
      </c>
      <c r="B30" t="s">
        <v>84</v>
      </c>
      <c r="C30" t="s">
        <v>148</v>
      </c>
      <c r="D30">
        <v>5912</v>
      </c>
      <c r="E30">
        <v>591</v>
      </c>
      <c r="F30">
        <f t="shared" si="0"/>
        <v>0.90003382949932342</v>
      </c>
      <c r="G30">
        <v>0</v>
      </c>
      <c r="H30">
        <v>0</v>
      </c>
      <c r="I30">
        <v>0</v>
      </c>
      <c r="J30">
        <v>2.0441999999999998E-2</v>
      </c>
      <c r="K30">
        <v>3.5379999999999999E-3</v>
      </c>
      <c r="L30">
        <v>9.4789999999999996E-3</v>
      </c>
      <c r="M30">
        <f t="shared" si="1"/>
        <v>2.0441999999999998E-2</v>
      </c>
      <c r="N30">
        <v>0</v>
      </c>
      <c r="O30">
        <v>0</v>
      </c>
      <c r="P30">
        <v>0</v>
      </c>
      <c r="Q30">
        <v>6.0999999999999999E-2</v>
      </c>
      <c r="R30" t="str">
        <f t="shared" si="2"/>
        <v>Yes</v>
      </c>
      <c r="S30" s="19">
        <f>Dataset!$J$14</f>
        <v>0.23269999999999999</v>
      </c>
      <c r="T30" s="20">
        <f t="shared" si="3"/>
        <v>8.7847013321873657</v>
      </c>
    </row>
    <row r="31" spans="1:20" x14ac:dyDescent="0.25">
      <c r="A31" t="s">
        <v>83</v>
      </c>
      <c r="B31" t="s">
        <v>84</v>
      </c>
      <c r="C31" t="s">
        <v>149</v>
      </c>
      <c r="D31">
        <v>5912</v>
      </c>
      <c r="E31">
        <v>5129</v>
      </c>
      <c r="F31">
        <f t="shared" si="0"/>
        <v>0.13244248985115026</v>
      </c>
      <c r="G31">
        <v>8.3280000000000003E-3</v>
      </c>
      <c r="H31">
        <v>2.72E-4</v>
      </c>
      <c r="I31">
        <v>1.6739999999999999E-3</v>
      </c>
      <c r="J31">
        <v>2.3149999999999998E-3</v>
      </c>
      <c r="K31">
        <v>2.6400000000000002E-4</v>
      </c>
      <c r="L31">
        <v>1.3339999999999999E-3</v>
      </c>
      <c r="M31">
        <f t="shared" si="1"/>
        <v>8.3280000000000003E-3</v>
      </c>
      <c r="N31">
        <v>0</v>
      </c>
      <c r="O31">
        <v>10386</v>
      </c>
      <c r="P31">
        <v>3</v>
      </c>
      <c r="Q31">
        <v>0.26700000000000002</v>
      </c>
      <c r="R31" t="str">
        <f t="shared" si="2"/>
        <v>Yes</v>
      </c>
      <c r="S31" s="19">
        <f>Dataset!$J$14</f>
        <v>0.23269999999999999</v>
      </c>
      <c r="T31" s="20">
        <f t="shared" si="3"/>
        <v>3.5788568972926518</v>
      </c>
    </row>
    <row r="32" spans="1:20" x14ac:dyDescent="0.25">
      <c r="A32" t="s">
        <v>88</v>
      </c>
      <c r="B32" t="s">
        <v>84</v>
      </c>
      <c r="C32" t="s">
        <v>148</v>
      </c>
      <c r="D32">
        <v>16694</v>
      </c>
      <c r="E32">
        <v>1669</v>
      </c>
      <c r="F32">
        <f t="shared" si="0"/>
        <v>0.90002396070444468</v>
      </c>
      <c r="G32">
        <v>0</v>
      </c>
      <c r="H32">
        <v>0</v>
      </c>
      <c r="I32">
        <v>0</v>
      </c>
      <c r="J32">
        <v>2.1684999999999999E-2</v>
      </c>
      <c r="K32">
        <v>4.1590000000000004E-3</v>
      </c>
      <c r="L32">
        <v>1.5282E-2</v>
      </c>
      <c r="M32">
        <f t="shared" si="1"/>
        <v>2.1684999999999999E-2</v>
      </c>
      <c r="N32">
        <v>0</v>
      </c>
      <c r="O32">
        <v>0</v>
      </c>
      <c r="P32">
        <v>0</v>
      </c>
      <c r="Q32">
        <v>0.18099999999999999</v>
      </c>
      <c r="R32" t="str">
        <f t="shared" si="2"/>
        <v>Yes</v>
      </c>
      <c r="S32" s="19">
        <f>Dataset!$J$15</f>
        <v>0.3029</v>
      </c>
      <c r="T32" s="20">
        <f t="shared" si="3"/>
        <v>7.1591284252228453</v>
      </c>
    </row>
    <row r="33" spans="1:20" x14ac:dyDescent="0.25">
      <c r="A33" t="s">
        <v>88</v>
      </c>
      <c r="B33" t="s">
        <v>84</v>
      </c>
      <c r="C33" t="s">
        <v>149</v>
      </c>
      <c r="D33">
        <v>16694</v>
      </c>
      <c r="E33">
        <v>11921</v>
      </c>
      <c r="F33">
        <f t="shared" si="0"/>
        <v>0.28591110578651013</v>
      </c>
      <c r="G33">
        <v>6.045E-3</v>
      </c>
      <c r="H33">
        <v>1.11E-4</v>
      </c>
      <c r="I33">
        <v>5.9199999999999997E-4</v>
      </c>
      <c r="J33">
        <v>3.0230000000000001E-3</v>
      </c>
      <c r="K33">
        <v>3.0600000000000001E-4</v>
      </c>
      <c r="L33">
        <v>1.4760000000000001E-3</v>
      </c>
      <c r="M33">
        <f t="shared" si="1"/>
        <v>6.045E-3</v>
      </c>
      <c r="N33">
        <v>0</v>
      </c>
      <c r="O33">
        <v>24277</v>
      </c>
      <c r="P33">
        <v>3</v>
      </c>
      <c r="Q33">
        <v>0.70399999999999996</v>
      </c>
      <c r="R33" t="str">
        <f t="shared" si="2"/>
        <v>Yes</v>
      </c>
      <c r="S33" s="19">
        <f>Dataset!$J$15</f>
        <v>0.3029</v>
      </c>
      <c r="T33" s="20">
        <f t="shared" si="3"/>
        <v>1.9957081545064377</v>
      </c>
    </row>
    <row r="34" spans="1:20" x14ac:dyDescent="0.25">
      <c r="A34" t="s">
        <v>90</v>
      </c>
      <c r="B34" t="s">
        <v>84</v>
      </c>
      <c r="C34" t="s">
        <v>148</v>
      </c>
      <c r="D34">
        <v>63998</v>
      </c>
      <c r="E34">
        <v>6378</v>
      </c>
      <c r="F34">
        <f t="shared" si="0"/>
        <v>0.90034063564486388</v>
      </c>
      <c r="G34">
        <v>4.0090000000000004E-3</v>
      </c>
      <c r="H34">
        <v>3.6299999999999999E-4</v>
      </c>
      <c r="I34">
        <v>1.3309999999999999E-3</v>
      </c>
      <c r="J34">
        <v>5.1440000000000001E-3</v>
      </c>
      <c r="K34">
        <v>5.4000000000000001E-4</v>
      </c>
      <c r="L34">
        <v>1.66E-3</v>
      </c>
      <c r="M34">
        <f t="shared" si="1"/>
        <v>5.1440000000000001E-3</v>
      </c>
      <c r="N34">
        <v>0</v>
      </c>
      <c r="O34">
        <v>0</v>
      </c>
      <c r="P34">
        <v>0</v>
      </c>
      <c r="Q34">
        <v>0.64600000000000002</v>
      </c>
      <c r="R34" t="str">
        <f t="shared" si="2"/>
        <v>Yes</v>
      </c>
      <c r="S34" s="19">
        <f>Dataset!$J$16</f>
        <v>0.45639999999999997</v>
      </c>
      <c r="T34" s="20">
        <f t="shared" si="3"/>
        <v>1.1270815074496057</v>
      </c>
    </row>
    <row r="35" spans="1:20" x14ac:dyDescent="0.25">
      <c r="A35" t="s">
        <v>90</v>
      </c>
      <c r="B35" t="s">
        <v>84</v>
      </c>
      <c r="C35" t="s">
        <v>149</v>
      </c>
      <c r="D35">
        <v>63998</v>
      </c>
      <c r="E35">
        <v>6530</v>
      </c>
      <c r="F35">
        <f t="shared" si="0"/>
        <v>0.89796556142379447</v>
      </c>
      <c r="G35">
        <v>4.0090000000000004E-3</v>
      </c>
      <c r="H35">
        <v>3.5799999999999997E-4</v>
      </c>
      <c r="I35">
        <v>1.3209999999999999E-3</v>
      </c>
      <c r="J35">
        <v>4.2310000000000004E-3</v>
      </c>
      <c r="K35">
        <v>5.4100000000000003E-4</v>
      </c>
      <c r="L35">
        <v>1.6739999999999999E-3</v>
      </c>
      <c r="M35">
        <f t="shared" si="1"/>
        <v>4.2310000000000004E-3</v>
      </c>
      <c r="N35">
        <v>0</v>
      </c>
      <c r="O35">
        <v>9</v>
      </c>
      <c r="P35">
        <v>2</v>
      </c>
      <c r="Q35">
        <v>0.81</v>
      </c>
      <c r="R35" t="str">
        <f t="shared" si="2"/>
        <v>No</v>
      </c>
      <c r="S35" s="19">
        <f>Dataset!$J$16</f>
        <v>0.45639999999999997</v>
      </c>
      <c r="T35" s="20">
        <f t="shared" si="3"/>
        <v>0.92703768624014038</v>
      </c>
    </row>
    <row r="36" spans="1:20" x14ac:dyDescent="0.25">
      <c r="A36" t="s">
        <v>93</v>
      </c>
      <c r="B36" t="s">
        <v>84</v>
      </c>
      <c r="C36" t="s">
        <v>148</v>
      </c>
      <c r="D36">
        <v>69451</v>
      </c>
      <c r="E36">
        <v>6945</v>
      </c>
      <c r="F36">
        <f t="shared" si="0"/>
        <v>0.90000143986407677</v>
      </c>
      <c r="G36">
        <v>4.1800000000000002E-4</v>
      </c>
      <c r="H36">
        <v>5.8999999999999998E-5</v>
      </c>
      <c r="I36">
        <v>1.47E-4</v>
      </c>
      <c r="J36">
        <v>3.5100000000000002E-4</v>
      </c>
      <c r="K36">
        <v>4.6E-5</v>
      </c>
      <c r="L36">
        <v>1.22E-4</v>
      </c>
      <c r="M36">
        <f t="shared" si="1"/>
        <v>4.1800000000000002E-4</v>
      </c>
      <c r="N36">
        <v>0</v>
      </c>
      <c r="O36">
        <v>0</v>
      </c>
      <c r="P36">
        <v>0</v>
      </c>
      <c r="Q36">
        <v>0.48299999999999998</v>
      </c>
      <c r="R36" t="str">
        <f t="shared" si="2"/>
        <v>No</v>
      </c>
      <c r="S36" s="19">
        <f>Dataset!$J$17</f>
        <v>0.25019999999999998</v>
      </c>
      <c r="T36" s="20">
        <f t="shared" si="3"/>
        <v>0.16706634692246206</v>
      </c>
    </row>
    <row r="37" spans="1:20" x14ac:dyDescent="0.25">
      <c r="A37" t="s">
        <v>93</v>
      </c>
      <c r="B37" t="s">
        <v>84</v>
      </c>
      <c r="C37" t="s">
        <v>149</v>
      </c>
      <c r="D37">
        <v>69451</v>
      </c>
      <c r="E37">
        <v>6945</v>
      </c>
      <c r="F37">
        <f t="shared" si="0"/>
        <v>0.90000143986407677</v>
      </c>
      <c r="G37">
        <v>4.1800000000000002E-4</v>
      </c>
      <c r="H37">
        <v>5.8999999999999998E-5</v>
      </c>
      <c r="I37">
        <v>1.47E-4</v>
      </c>
      <c r="J37">
        <v>3.5100000000000002E-4</v>
      </c>
      <c r="K37">
        <v>4.6E-5</v>
      </c>
      <c r="L37">
        <v>1.22E-4</v>
      </c>
      <c r="M37">
        <f t="shared" si="1"/>
        <v>4.1800000000000002E-4</v>
      </c>
      <c r="N37">
        <v>0</v>
      </c>
      <c r="O37">
        <v>0</v>
      </c>
      <c r="P37">
        <v>1</v>
      </c>
      <c r="Q37">
        <v>0.159</v>
      </c>
      <c r="R37" t="str">
        <f t="shared" si="2"/>
        <v>No</v>
      </c>
      <c r="S37" s="19">
        <f>Dataset!$J$17</f>
        <v>0.25019999999999998</v>
      </c>
      <c r="T37" s="20">
        <f t="shared" si="3"/>
        <v>0.16706634692246206</v>
      </c>
    </row>
    <row r="38" spans="1:20" x14ac:dyDescent="0.25">
      <c r="A38" t="s">
        <v>97</v>
      </c>
      <c r="B38" t="s">
        <v>84</v>
      </c>
      <c r="C38" t="s">
        <v>148</v>
      </c>
      <c r="D38">
        <v>345944</v>
      </c>
      <c r="E38">
        <v>34594</v>
      </c>
      <c r="F38">
        <f t="shared" si="0"/>
        <v>0.9000011562565039</v>
      </c>
      <c r="G38">
        <v>0.174982</v>
      </c>
      <c r="H38">
        <v>2.3869000000000001E-2</v>
      </c>
      <c r="I38">
        <v>5.8805000000000003E-2</v>
      </c>
      <c r="J38">
        <v>0.165635</v>
      </c>
      <c r="K38">
        <v>1.8964000000000002E-2</v>
      </c>
      <c r="L38">
        <v>4.9390000000000003E-2</v>
      </c>
      <c r="M38">
        <f t="shared" si="1"/>
        <v>0.174982</v>
      </c>
      <c r="N38">
        <v>0</v>
      </c>
      <c r="O38">
        <v>0</v>
      </c>
      <c r="P38">
        <v>0</v>
      </c>
      <c r="Q38">
        <v>3.863</v>
      </c>
      <c r="R38" t="str">
        <f t="shared" si="2"/>
        <v>No</v>
      </c>
      <c r="S38" s="19">
        <f>Dataset!$J$18</f>
        <v>228.80369999999999</v>
      </c>
      <c r="T38" s="20">
        <f t="shared" si="3"/>
        <v>7.6476910119897545E-2</v>
      </c>
    </row>
    <row r="39" spans="1:20" x14ac:dyDescent="0.25">
      <c r="A39" t="s">
        <v>97</v>
      </c>
      <c r="B39" t="s">
        <v>84</v>
      </c>
      <c r="C39" t="s">
        <v>149</v>
      </c>
      <c r="D39">
        <v>345944</v>
      </c>
      <c r="E39">
        <v>34594</v>
      </c>
      <c r="F39">
        <f t="shared" si="0"/>
        <v>0.9000011562565039</v>
      </c>
      <c r="G39">
        <v>0.174982</v>
      </c>
      <c r="H39">
        <v>2.3869000000000001E-2</v>
      </c>
      <c r="I39">
        <v>5.8805000000000003E-2</v>
      </c>
      <c r="J39">
        <v>0.165635</v>
      </c>
      <c r="K39">
        <v>1.8964000000000002E-2</v>
      </c>
      <c r="L39">
        <v>4.9390000000000003E-2</v>
      </c>
      <c r="M39">
        <f t="shared" si="1"/>
        <v>0.174982</v>
      </c>
      <c r="N39">
        <v>0</v>
      </c>
      <c r="O39">
        <v>0</v>
      </c>
      <c r="P39">
        <v>1</v>
      </c>
      <c r="Q39">
        <v>1.4970000000000001</v>
      </c>
      <c r="R39" t="str">
        <f t="shared" si="2"/>
        <v>No</v>
      </c>
      <c r="S39" s="19">
        <f>Dataset!$J$18</f>
        <v>228.80369999999999</v>
      </c>
      <c r="T39" s="20">
        <f t="shared" si="3"/>
        <v>7.6476910119897545E-2</v>
      </c>
    </row>
    <row r="40" spans="1:20" x14ac:dyDescent="0.25">
      <c r="A40" t="s">
        <v>99</v>
      </c>
      <c r="B40" t="s">
        <v>100</v>
      </c>
      <c r="C40" t="s">
        <v>148</v>
      </c>
      <c r="D40">
        <v>1869988</v>
      </c>
      <c r="E40">
        <v>186998</v>
      </c>
      <c r="F40">
        <f t="shared" si="0"/>
        <v>0.90000042781023193</v>
      </c>
      <c r="G40">
        <v>0</v>
      </c>
      <c r="H40">
        <v>0</v>
      </c>
      <c r="I40">
        <v>0</v>
      </c>
      <c r="J40">
        <v>1.8800000000000001E-2</v>
      </c>
      <c r="K40">
        <v>2.4060000000000002E-3</v>
      </c>
      <c r="L40">
        <v>5.3350000000000003E-3</v>
      </c>
      <c r="M40">
        <f t="shared" si="1"/>
        <v>1.8800000000000001E-2</v>
      </c>
      <c r="N40">
        <v>0</v>
      </c>
      <c r="O40">
        <v>0</v>
      </c>
      <c r="P40">
        <v>0</v>
      </c>
      <c r="Q40">
        <v>25.439</v>
      </c>
      <c r="R40" t="str">
        <f t="shared" si="2"/>
        <v>No</v>
      </c>
      <c r="S40" s="19">
        <f>Dataset!$J$19</f>
        <v>2.3605999999999998</v>
      </c>
      <c r="T40" s="20">
        <f t="shared" si="3"/>
        <v>0.79640769295941716</v>
      </c>
    </row>
    <row r="41" spans="1:20" x14ac:dyDescent="0.25">
      <c r="A41" t="s">
        <v>99</v>
      </c>
      <c r="B41" t="s">
        <v>100</v>
      </c>
      <c r="C41" t="s">
        <v>149</v>
      </c>
      <c r="D41">
        <v>1869988</v>
      </c>
      <c r="E41">
        <v>186998</v>
      </c>
      <c r="F41">
        <f t="shared" si="0"/>
        <v>0.90000042781023193</v>
      </c>
      <c r="G41">
        <v>0</v>
      </c>
      <c r="H41">
        <v>0</v>
      </c>
      <c r="I41">
        <v>0</v>
      </c>
      <c r="J41">
        <v>1.8800000000000001E-2</v>
      </c>
      <c r="K41">
        <v>2.4060000000000002E-3</v>
      </c>
      <c r="L41">
        <v>5.3350000000000003E-3</v>
      </c>
      <c r="M41">
        <f t="shared" si="1"/>
        <v>1.8800000000000001E-2</v>
      </c>
      <c r="N41">
        <v>0</v>
      </c>
      <c r="O41">
        <v>0</v>
      </c>
      <c r="P41">
        <v>1</v>
      </c>
      <c r="Q41">
        <v>12.962</v>
      </c>
      <c r="R41" t="str">
        <f t="shared" si="2"/>
        <v>No</v>
      </c>
      <c r="S41" s="19">
        <f>Dataset!$J$19</f>
        <v>2.3605999999999998</v>
      </c>
      <c r="T41" s="20">
        <f t="shared" si="3"/>
        <v>0.79640769295941716</v>
      </c>
    </row>
    <row r="42" spans="1:20" x14ac:dyDescent="0.25">
      <c r="A42" t="s">
        <v>104</v>
      </c>
      <c r="B42" t="s">
        <v>100</v>
      </c>
      <c r="C42" t="s">
        <v>148</v>
      </c>
      <c r="D42">
        <v>31400</v>
      </c>
      <c r="E42">
        <v>3140</v>
      </c>
      <c r="F42">
        <f t="shared" si="0"/>
        <v>0.9</v>
      </c>
      <c r="G42">
        <v>0</v>
      </c>
      <c r="H42">
        <v>0</v>
      </c>
      <c r="I42">
        <v>0</v>
      </c>
      <c r="J42">
        <v>0.12881300000000001</v>
      </c>
      <c r="K42">
        <v>2.5701000000000002E-2</v>
      </c>
      <c r="L42">
        <v>6.3462000000000005E-2</v>
      </c>
      <c r="M42">
        <f t="shared" si="1"/>
        <v>0.12881300000000001</v>
      </c>
      <c r="N42">
        <v>0</v>
      </c>
      <c r="O42">
        <v>0</v>
      </c>
      <c r="P42">
        <v>0</v>
      </c>
      <c r="Q42">
        <v>0.35799999999999998</v>
      </c>
      <c r="R42" t="str">
        <f t="shared" si="2"/>
        <v>Yes</v>
      </c>
      <c r="S42" s="19">
        <f>Dataset!$J$20</f>
        <v>2.4527999999999999</v>
      </c>
      <c r="T42" s="20">
        <f t="shared" si="3"/>
        <v>5.2516715590345733</v>
      </c>
    </row>
    <row r="43" spans="1:20" x14ac:dyDescent="0.25">
      <c r="A43" t="s">
        <v>104</v>
      </c>
      <c r="B43" t="s">
        <v>100</v>
      </c>
      <c r="C43" t="s">
        <v>149</v>
      </c>
      <c r="D43">
        <v>31400</v>
      </c>
      <c r="E43">
        <v>24908</v>
      </c>
      <c r="F43">
        <f t="shared" si="0"/>
        <v>0.20675159235668794</v>
      </c>
      <c r="G43">
        <v>0.151949</v>
      </c>
      <c r="H43">
        <v>2.496E-3</v>
      </c>
      <c r="I43">
        <v>1.4452E-2</v>
      </c>
      <c r="J43">
        <v>2.7682999999999999E-2</v>
      </c>
      <c r="K43">
        <v>2.9610000000000001E-3</v>
      </c>
      <c r="L43">
        <v>1.3044999999999999E-2</v>
      </c>
      <c r="M43">
        <f t="shared" si="1"/>
        <v>0.151949</v>
      </c>
      <c r="N43">
        <v>0</v>
      </c>
      <c r="O43">
        <v>46048</v>
      </c>
      <c r="P43">
        <v>3</v>
      </c>
      <c r="Q43">
        <v>2.556</v>
      </c>
      <c r="R43" t="str">
        <f t="shared" si="2"/>
        <v>Yes</v>
      </c>
      <c r="S43" s="19">
        <f>Dataset!$J$20</f>
        <v>2.4527999999999999</v>
      </c>
      <c r="T43" s="20">
        <f t="shared" si="3"/>
        <v>6.1949200913242013</v>
      </c>
    </row>
    <row r="45" spans="1:20" x14ac:dyDescent="0.25">
      <c r="A45" t="s">
        <v>151</v>
      </c>
    </row>
    <row r="46" spans="1:20" x14ac:dyDescent="0.25">
      <c r="A46" t="s">
        <v>152</v>
      </c>
      <c r="B46" t="str">
        <f>COUNTIFS(C6:C43,"No refinement",R6:R43,"Yes")&amp;"/"&amp;COUNTIF(C6:C43,"No refinement")</f>
        <v>12/19</v>
      </c>
    </row>
    <row r="47" spans="1:20" x14ac:dyDescent="0.25">
      <c r="A47" t="s">
        <v>153</v>
      </c>
      <c r="B47" t="str">
        <f>COUNTIFS(C6:C43,"Bidirectional refinement",R6:R43,"Yes")&amp;"/"&amp;COUNTIF(C6:C43,"Bidirectional refinement")</f>
        <v>10/19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0" customWidth="1"/>
    <col min="2" max="2" width="34" customWidth="1"/>
    <col min="3" max="24" width="13" customWidth="1"/>
  </cols>
  <sheetData>
    <row r="1" spans="1:24" ht="18" customHeight="1" x14ac:dyDescent="0.25">
      <c r="A1" s="8" t="s">
        <v>154</v>
      </c>
    </row>
    <row r="2" spans="1:24" x14ac:dyDescent="0.25">
      <c r="A2" s="9" t="s">
        <v>155</v>
      </c>
    </row>
    <row r="4" spans="1:24" ht="30" customHeight="1" x14ac:dyDescent="0.25">
      <c r="A4" s="5" t="s">
        <v>107</v>
      </c>
      <c r="B4" s="5" t="s">
        <v>108</v>
      </c>
      <c r="C4" s="5" t="s">
        <v>110</v>
      </c>
      <c r="D4" s="5" t="s">
        <v>156</v>
      </c>
      <c r="E4" s="5" t="s">
        <v>157</v>
      </c>
      <c r="F4" s="5" t="s">
        <v>158</v>
      </c>
      <c r="G4" s="5" t="s">
        <v>159</v>
      </c>
      <c r="H4" s="5" t="s">
        <v>160</v>
      </c>
      <c r="I4" s="5" t="s">
        <v>161</v>
      </c>
      <c r="J4" s="5" t="s">
        <v>162</v>
      </c>
      <c r="K4" s="5" t="s">
        <v>163</v>
      </c>
      <c r="L4" s="5" t="s">
        <v>164</v>
      </c>
      <c r="M4" s="5" t="s">
        <v>165</v>
      </c>
      <c r="N4" s="5" t="s">
        <v>166</v>
      </c>
      <c r="O4" s="5" t="s">
        <v>167</v>
      </c>
      <c r="P4" s="5" t="s">
        <v>168</v>
      </c>
      <c r="Q4" s="5" t="s">
        <v>169</v>
      </c>
      <c r="R4" s="5" t="s">
        <v>170</v>
      </c>
      <c r="S4" s="5" t="s">
        <v>171</v>
      </c>
      <c r="T4" s="5" t="s">
        <v>172</v>
      </c>
      <c r="U4" s="5" t="s">
        <v>173</v>
      </c>
      <c r="V4" s="5" t="s">
        <v>174</v>
      </c>
      <c r="W4" s="5" t="s">
        <v>175</v>
      </c>
      <c r="X4" s="5" t="s">
        <v>176</v>
      </c>
    </row>
    <row r="5" spans="1:24" x14ac:dyDescent="0.25">
      <c r="A5" s="10" t="s">
        <v>122</v>
      </c>
      <c r="B5" s="10" t="s">
        <v>123</v>
      </c>
      <c r="C5" s="10">
        <v>3280</v>
      </c>
      <c r="D5" s="10">
        <v>240</v>
      </c>
      <c r="E5" s="11">
        <f>D5/C5</f>
        <v>7.3170731707317069E-2</v>
      </c>
      <c r="F5" s="10">
        <v>328</v>
      </c>
      <c r="G5" s="11">
        <f>1-F5/C5</f>
        <v>0.9</v>
      </c>
      <c r="H5" s="10">
        <v>1.1058E-2</v>
      </c>
      <c r="I5" s="10">
        <v>3.4269999999999999E-3</v>
      </c>
      <c r="J5" s="10">
        <v>9.0200000000000002E-3</v>
      </c>
      <c r="K5" s="10">
        <v>8.9449999999999998E-3</v>
      </c>
      <c r="L5" s="10">
        <v>3.1640000000000001E-3</v>
      </c>
      <c r="M5" s="10">
        <v>6.6210000000000001E-3</v>
      </c>
      <c r="N5" s="10">
        <v>544</v>
      </c>
      <c r="O5" s="11">
        <f>1-N5/C5</f>
        <v>0.8341463414634146</v>
      </c>
      <c r="P5" s="10">
        <v>3040</v>
      </c>
      <c r="Q5" s="10">
        <v>304</v>
      </c>
      <c r="R5" s="11">
        <f>IFERROR(1-Q5/P5,0)</f>
        <v>0.9</v>
      </c>
      <c r="S5" s="10">
        <v>0</v>
      </c>
      <c r="T5" s="10">
        <v>0</v>
      </c>
      <c r="U5" s="10">
        <v>0</v>
      </c>
      <c r="V5" s="10">
        <v>8.3560000000000006E-3</v>
      </c>
      <c r="W5" s="10">
        <v>2.8479999999999998E-3</v>
      </c>
      <c r="X5" s="10">
        <v>6.1919999999999996E-3</v>
      </c>
    </row>
    <row r="6" spans="1:24" x14ac:dyDescent="0.25">
      <c r="A6" s="10" t="s">
        <v>125</v>
      </c>
      <c r="B6" s="10" t="s">
        <v>126</v>
      </c>
      <c r="C6" s="10">
        <v>6960</v>
      </c>
      <c r="D6" s="10">
        <v>780</v>
      </c>
      <c r="E6" s="11">
        <f>D6/C6</f>
        <v>0.11206896551724138</v>
      </c>
      <c r="F6" s="10">
        <v>696</v>
      </c>
      <c r="G6" s="11">
        <f>1-F6/C6</f>
        <v>0.9</v>
      </c>
      <c r="H6" s="10">
        <v>6.2919999999999998E-3</v>
      </c>
      <c r="I6" s="10">
        <v>1.4760000000000001E-3</v>
      </c>
      <c r="J6" s="10">
        <v>3.5560000000000001E-3</v>
      </c>
      <c r="K6" s="10">
        <v>4.5059999999999996E-3</v>
      </c>
      <c r="L6" s="10">
        <v>1.3209999999999999E-3</v>
      </c>
      <c r="M6" s="10">
        <v>2.9499999999999999E-3</v>
      </c>
      <c r="N6" s="10">
        <v>1398</v>
      </c>
      <c r="O6" s="11">
        <f>1-N6/C6</f>
        <v>0.79913793103448272</v>
      </c>
      <c r="P6" s="10">
        <v>6180</v>
      </c>
      <c r="Q6" s="10">
        <v>618</v>
      </c>
      <c r="R6" s="11">
        <f>IFERROR(1-Q6/P6,0)</f>
        <v>0.9</v>
      </c>
      <c r="S6" s="10">
        <v>0</v>
      </c>
      <c r="T6" s="10">
        <v>0</v>
      </c>
      <c r="U6" s="10">
        <v>0</v>
      </c>
      <c r="V6" s="10">
        <v>4.9449999999999997E-3</v>
      </c>
      <c r="W6" s="10">
        <v>1.4549999999999999E-3</v>
      </c>
      <c r="X6" s="10">
        <v>3.2299999999999998E-3</v>
      </c>
    </row>
    <row r="7" spans="1:24" x14ac:dyDescent="0.25">
      <c r="A7" s="10" t="s">
        <v>127</v>
      </c>
      <c r="B7" s="10" t="s">
        <v>128</v>
      </c>
      <c r="C7" s="10">
        <v>6960</v>
      </c>
      <c r="D7" s="10">
        <v>36</v>
      </c>
      <c r="E7" s="11">
        <f>D7/C7</f>
        <v>5.1724137931034482E-3</v>
      </c>
      <c r="F7" s="10">
        <v>696</v>
      </c>
      <c r="G7" s="11">
        <f>1-F7/C7</f>
        <v>0.9</v>
      </c>
      <c r="H7" s="10">
        <v>5.6569999999999997E-3</v>
      </c>
      <c r="I7" s="10">
        <v>1.3500000000000001E-3</v>
      </c>
      <c r="J7" s="10">
        <v>4.084E-3</v>
      </c>
      <c r="K7" s="10">
        <v>4.5059999999999996E-3</v>
      </c>
      <c r="L7" s="10">
        <v>1.2130000000000001E-3</v>
      </c>
      <c r="M7" s="10">
        <v>2.725E-3</v>
      </c>
      <c r="N7" s="10">
        <v>734</v>
      </c>
      <c r="O7" s="11">
        <f>1-N7/C7</f>
        <v>0.89454022988505744</v>
      </c>
      <c r="P7" s="10">
        <v>6924</v>
      </c>
      <c r="Q7" s="10">
        <v>692</v>
      </c>
      <c r="R7" s="11">
        <f>IFERROR(1-Q7/P7,0)</f>
        <v>0.90005777007510113</v>
      </c>
      <c r="S7" s="10">
        <v>0</v>
      </c>
      <c r="T7" s="10">
        <v>0</v>
      </c>
      <c r="U7" s="10">
        <v>0</v>
      </c>
      <c r="V7" s="10">
        <v>3.601E-3</v>
      </c>
      <c r="W7" s="10">
        <v>1.1709999999999999E-3</v>
      </c>
      <c r="X7" s="10">
        <v>2.6199999999999999E-3</v>
      </c>
    </row>
    <row r="8" spans="1:24" x14ac:dyDescent="0.25">
      <c r="A8" s="10" t="s">
        <v>130</v>
      </c>
      <c r="B8" s="10" t="s">
        <v>131</v>
      </c>
      <c r="C8" s="10">
        <v>9520</v>
      </c>
      <c r="D8" s="10">
        <v>1000</v>
      </c>
      <c r="E8" s="11">
        <f>D8/C8</f>
        <v>0.10504201680672269</v>
      </c>
      <c r="F8" s="10">
        <v>952</v>
      </c>
      <c r="G8" s="11">
        <f>1-F8/C8</f>
        <v>0.9</v>
      </c>
      <c r="H8" s="10">
        <v>5.764E-3</v>
      </c>
      <c r="I8" s="10">
        <v>1.183E-3</v>
      </c>
      <c r="J8" s="10">
        <v>3.2139999999999998E-3</v>
      </c>
      <c r="K8" s="10">
        <v>3.4450000000000001E-3</v>
      </c>
      <c r="L8" s="10">
        <v>1.018E-3</v>
      </c>
      <c r="M8" s="10">
        <v>2.382E-3</v>
      </c>
      <c r="N8" s="10">
        <v>1872</v>
      </c>
      <c r="O8" s="11">
        <f>1-N8/C8</f>
        <v>0.80336134453781516</v>
      </c>
      <c r="P8" s="10">
        <v>8520</v>
      </c>
      <c r="Q8" s="10">
        <v>852</v>
      </c>
      <c r="R8" s="11">
        <f>IFERROR(1-Q8/P8,0)</f>
        <v>0.9</v>
      </c>
      <c r="S8" s="10">
        <v>0</v>
      </c>
      <c r="T8" s="10">
        <v>0</v>
      </c>
      <c r="U8" s="10">
        <v>0</v>
      </c>
      <c r="V8" s="10">
        <v>3.885E-3</v>
      </c>
      <c r="W8" s="10">
        <v>1.052E-3</v>
      </c>
      <c r="X8" s="10">
        <v>2.421E-3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4" width="11" customWidth="1"/>
    <col min="5" max="6" width="10" customWidth="1"/>
    <col min="7" max="7" width="11" customWidth="1"/>
    <col min="8" max="10" width="10" customWidth="1"/>
  </cols>
  <sheetData>
    <row r="1" spans="1:10" ht="18" customHeight="1" x14ac:dyDescent="0.25">
      <c r="A1" s="8" t="s">
        <v>177</v>
      </c>
    </row>
    <row r="2" spans="1:10" x14ac:dyDescent="0.25">
      <c r="A2" s="9" t="s">
        <v>178</v>
      </c>
    </row>
    <row r="4" spans="1:10" ht="30" customHeight="1" x14ac:dyDescent="0.25">
      <c r="A4" s="5" t="s">
        <v>34</v>
      </c>
      <c r="B4" s="5" t="s">
        <v>179</v>
      </c>
      <c r="C4" s="5" t="s">
        <v>110</v>
      </c>
      <c r="D4" s="5" t="s">
        <v>111</v>
      </c>
      <c r="E4" s="5" t="s">
        <v>112</v>
      </c>
      <c r="F4" s="5" t="s">
        <v>143</v>
      </c>
      <c r="G4" s="5" t="s">
        <v>180</v>
      </c>
      <c r="H4" s="5" t="s">
        <v>181</v>
      </c>
      <c r="I4" s="5" t="s">
        <v>182</v>
      </c>
      <c r="J4" s="5" t="s">
        <v>183</v>
      </c>
    </row>
    <row r="5" spans="1:10" x14ac:dyDescent="0.25">
      <c r="A5" s="7" t="s">
        <v>62</v>
      </c>
      <c r="B5" s="7">
        <v>0.25</v>
      </c>
      <c r="C5" s="7">
        <v>13790</v>
      </c>
      <c r="D5" s="7">
        <v>13346</v>
      </c>
      <c r="E5" s="14">
        <f t="shared" ref="E5:E29" si="0">IFERROR(1-D5/C5,"")</f>
        <v>3.2197244379985501E-2</v>
      </c>
      <c r="F5" s="7">
        <v>3</v>
      </c>
      <c r="G5" s="7">
        <v>4757</v>
      </c>
      <c r="H5" s="7">
        <v>4.065E-3</v>
      </c>
      <c r="I5" s="7">
        <v>4.5000000000000003E-5</v>
      </c>
      <c r="J5" s="7">
        <v>2.9399999999999999E-4</v>
      </c>
    </row>
    <row r="6" spans="1:10" x14ac:dyDescent="0.25">
      <c r="A6" s="7" t="s">
        <v>62</v>
      </c>
      <c r="B6" s="7">
        <v>0.5</v>
      </c>
      <c r="C6" s="7">
        <v>13790</v>
      </c>
      <c r="D6" s="7">
        <v>9089</v>
      </c>
      <c r="E6" s="14">
        <f t="shared" si="0"/>
        <v>0.34089920232052207</v>
      </c>
      <c r="F6" s="7">
        <v>3</v>
      </c>
      <c r="G6" s="7">
        <v>2301</v>
      </c>
      <c r="H6" s="7">
        <v>1.7493000000000002E-2</v>
      </c>
      <c r="I6" s="7">
        <v>2.3900000000000001E-4</v>
      </c>
      <c r="J6" s="7">
        <v>9.3199999999999999E-4</v>
      </c>
    </row>
    <row r="7" spans="1:10" x14ac:dyDescent="0.25">
      <c r="A7" s="7" t="s">
        <v>62</v>
      </c>
      <c r="B7" s="7">
        <v>1</v>
      </c>
      <c r="C7" s="7">
        <v>13790</v>
      </c>
      <c r="D7" s="7">
        <v>5231</v>
      </c>
      <c r="E7" s="14">
        <f t="shared" si="0"/>
        <v>0.62066715010877449</v>
      </c>
      <c r="F7" s="7">
        <v>3</v>
      </c>
      <c r="G7" s="7">
        <v>865</v>
      </c>
      <c r="H7" s="7">
        <v>7.9950000000000004E-3</v>
      </c>
      <c r="I7" s="7">
        <v>3.9399999999999998E-4</v>
      </c>
      <c r="J7" s="7">
        <v>1.4450000000000001E-3</v>
      </c>
    </row>
    <row r="8" spans="1:10" x14ac:dyDescent="0.25">
      <c r="A8" s="7" t="s">
        <v>62</v>
      </c>
      <c r="B8" s="7">
        <v>2</v>
      </c>
      <c r="C8" s="7">
        <v>13790</v>
      </c>
      <c r="D8" s="7">
        <v>3672</v>
      </c>
      <c r="E8" s="14">
        <f t="shared" si="0"/>
        <v>0.73372008701957947</v>
      </c>
      <c r="F8" s="7">
        <v>3</v>
      </c>
      <c r="G8" s="7">
        <v>345</v>
      </c>
      <c r="H8" s="7">
        <v>1.0472E-2</v>
      </c>
      <c r="I8" s="7">
        <v>5.6899999999999995E-4</v>
      </c>
      <c r="J8" s="7">
        <v>2.0209999999999998E-3</v>
      </c>
    </row>
    <row r="9" spans="1:10" x14ac:dyDescent="0.25">
      <c r="A9" s="7" t="s">
        <v>62</v>
      </c>
      <c r="B9" s="7">
        <v>5</v>
      </c>
      <c r="C9" s="7">
        <v>13790</v>
      </c>
      <c r="D9" s="7">
        <v>2874</v>
      </c>
      <c r="E9" s="14">
        <f t="shared" si="0"/>
        <v>0.79158810732414797</v>
      </c>
      <c r="F9" s="7">
        <v>3</v>
      </c>
      <c r="G9" s="7">
        <v>32</v>
      </c>
      <c r="H9" s="7">
        <v>1.9372E-2</v>
      </c>
      <c r="I9" s="7">
        <v>9.2000000000000003E-4</v>
      </c>
      <c r="J9" s="7">
        <v>3.5620000000000001E-3</v>
      </c>
    </row>
    <row r="10" spans="1:10" x14ac:dyDescent="0.25">
      <c r="A10" s="7" t="s">
        <v>71</v>
      </c>
      <c r="B10" s="7">
        <v>0.25</v>
      </c>
      <c r="C10" s="7">
        <v>211874</v>
      </c>
      <c r="D10" s="7">
        <v>96954</v>
      </c>
      <c r="E10" s="14">
        <f t="shared" si="0"/>
        <v>0.54239784022579451</v>
      </c>
      <c r="F10" s="7">
        <v>3</v>
      </c>
      <c r="G10" s="7">
        <v>24710</v>
      </c>
      <c r="H10" s="7">
        <v>0.19429399999999999</v>
      </c>
      <c r="I10" s="7">
        <v>1.7030000000000001E-3</v>
      </c>
      <c r="J10" s="7">
        <v>2.2160000000000001E-3</v>
      </c>
    </row>
    <row r="11" spans="1:10" x14ac:dyDescent="0.25">
      <c r="A11" s="7" t="s">
        <v>71</v>
      </c>
      <c r="B11" s="7">
        <v>0.5</v>
      </c>
      <c r="C11" s="7">
        <v>211874</v>
      </c>
      <c r="D11" s="7">
        <v>66527</v>
      </c>
      <c r="E11" s="14">
        <f t="shared" si="0"/>
        <v>0.68600677761310969</v>
      </c>
      <c r="F11" s="7">
        <v>3</v>
      </c>
      <c r="G11" s="7">
        <v>12703</v>
      </c>
      <c r="H11" s="7">
        <v>9.9413000000000001E-2</v>
      </c>
      <c r="I11" s="7">
        <v>1.2149999999999999E-3</v>
      </c>
      <c r="J11" s="7">
        <v>3.9370000000000004E-3</v>
      </c>
    </row>
    <row r="12" spans="1:10" x14ac:dyDescent="0.25">
      <c r="A12" s="7" t="s">
        <v>71</v>
      </c>
      <c r="B12" s="7">
        <v>1</v>
      </c>
      <c r="C12" s="7">
        <v>211874</v>
      </c>
      <c r="D12" s="7">
        <v>42555</v>
      </c>
      <c r="E12" s="14">
        <f t="shared" si="0"/>
        <v>0.79914949451088857</v>
      </c>
      <c r="F12" s="7">
        <v>3</v>
      </c>
      <c r="G12" s="7">
        <v>4149</v>
      </c>
      <c r="H12" s="7">
        <v>5.5662999999999997E-2</v>
      </c>
      <c r="I12" s="7">
        <v>1.299E-3</v>
      </c>
      <c r="J12" s="7">
        <v>5.7930000000000004E-3</v>
      </c>
    </row>
    <row r="13" spans="1:10" x14ac:dyDescent="0.25">
      <c r="A13" s="7" t="s">
        <v>71</v>
      </c>
      <c r="B13" s="7">
        <v>2</v>
      </c>
      <c r="C13" s="7">
        <v>211874</v>
      </c>
      <c r="D13" s="7">
        <v>33178</v>
      </c>
      <c r="E13" s="14">
        <f t="shared" si="0"/>
        <v>0.84340693053418536</v>
      </c>
      <c r="F13" s="7">
        <v>2</v>
      </c>
      <c r="G13" s="7">
        <v>194</v>
      </c>
      <c r="H13" s="7">
        <v>4.1445999999999997E-2</v>
      </c>
      <c r="I13" s="7">
        <v>2.4269999999999999E-3</v>
      </c>
      <c r="J13" s="7">
        <v>1.1776E-2</v>
      </c>
    </row>
    <row r="14" spans="1:10" x14ac:dyDescent="0.25">
      <c r="A14" s="7" t="s">
        <v>71</v>
      </c>
      <c r="B14" s="7">
        <v>5</v>
      </c>
      <c r="C14" s="7">
        <v>211874</v>
      </c>
      <c r="D14" s="7">
        <v>21172</v>
      </c>
      <c r="E14" s="14">
        <f t="shared" si="0"/>
        <v>0.90007268470883639</v>
      </c>
      <c r="F14" s="7">
        <v>1</v>
      </c>
      <c r="G14" s="7">
        <v>0</v>
      </c>
      <c r="H14" s="7">
        <v>5.0117000000000002E-2</v>
      </c>
      <c r="I14" s="7">
        <v>3.2160000000000001E-3</v>
      </c>
      <c r="J14" s="7">
        <v>1.6778999999999999E-2</v>
      </c>
    </row>
    <row r="15" spans="1:10" x14ac:dyDescent="0.25">
      <c r="A15" s="7" t="s">
        <v>80</v>
      </c>
      <c r="B15" s="7">
        <v>0.25</v>
      </c>
      <c r="C15" s="7">
        <v>405680</v>
      </c>
      <c r="D15" s="7">
        <v>125308</v>
      </c>
      <c r="E15" s="14">
        <f t="shared" si="0"/>
        <v>0.69111615066061916</v>
      </c>
      <c r="F15" s="7">
        <v>3</v>
      </c>
      <c r="G15" s="7">
        <v>9795</v>
      </c>
      <c r="H15" s="7">
        <v>0.39617200000000002</v>
      </c>
      <c r="I15" s="7">
        <v>3.6740000000000002E-3</v>
      </c>
      <c r="J15" s="7">
        <v>4.6560000000000004E-3</v>
      </c>
    </row>
    <row r="16" spans="1:10" x14ac:dyDescent="0.25">
      <c r="A16" s="7" t="s">
        <v>80</v>
      </c>
      <c r="B16" s="7">
        <v>0.5</v>
      </c>
      <c r="C16" s="7">
        <v>405680</v>
      </c>
      <c r="D16" s="7">
        <v>106515</v>
      </c>
      <c r="E16" s="14">
        <f t="shared" si="0"/>
        <v>0.73744084007099198</v>
      </c>
      <c r="F16" s="7">
        <v>3</v>
      </c>
      <c r="G16" s="7">
        <v>5707</v>
      </c>
      <c r="H16" s="7">
        <v>0.35922599999999999</v>
      </c>
      <c r="I16" s="7">
        <v>3.2179999999999999E-3</v>
      </c>
      <c r="J16" s="7">
        <v>4.9509999999999997E-3</v>
      </c>
    </row>
    <row r="17" spans="1:10" x14ac:dyDescent="0.25">
      <c r="A17" s="7" t="s">
        <v>80</v>
      </c>
      <c r="B17" s="7">
        <v>1</v>
      </c>
      <c r="C17" s="7">
        <v>405680</v>
      </c>
      <c r="D17" s="7">
        <v>98032</v>
      </c>
      <c r="E17" s="14">
        <f t="shared" si="0"/>
        <v>0.75835140997830797</v>
      </c>
      <c r="F17" s="7">
        <v>3</v>
      </c>
      <c r="G17" s="7">
        <v>4044</v>
      </c>
      <c r="H17" s="7">
        <v>0.36501400000000001</v>
      </c>
      <c r="I17" s="7">
        <v>3.4250000000000001E-3</v>
      </c>
      <c r="J17" s="7">
        <v>5.2230000000000002E-3</v>
      </c>
    </row>
    <row r="18" spans="1:10" x14ac:dyDescent="0.25">
      <c r="A18" s="7" t="s">
        <v>80</v>
      </c>
      <c r="B18" s="7">
        <v>2</v>
      </c>
      <c r="C18" s="7">
        <v>405680</v>
      </c>
      <c r="D18" s="7">
        <v>40563</v>
      </c>
      <c r="E18" s="14">
        <f t="shared" si="0"/>
        <v>0.90001232498521</v>
      </c>
      <c r="F18" s="7">
        <v>1</v>
      </c>
      <c r="G18" s="7">
        <v>0</v>
      </c>
      <c r="H18" s="7">
        <v>5.0375999999999997E-2</v>
      </c>
      <c r="I18" s="7">
        <v>1.3680000000000001E-3</v>
      </c>
      <c r="J18" s="7">
        <v>4.9030000000000002E-3</v>
      </c>
    </row>
    <row r="19" spans="1:10" x14ac:dyDescent="0.25">
      <c r="A19" s="7" t="s">
        <v>80</v>
      </c>
      <c r="B19" s="7">
        <v>5</v>
      </c>
      <c r="C19" s="7">
        <v>405680</v>
      </c>
      <c r="D19" s="7">
        <v>40563</v>
      </c>
      <c r="E19" s="14">
        <f t="shared" si="0"/>
        <v>0.90001232498521</v>
      </c>
      <c r="F19" s="7">
        <v>1</v>
      </c>
      <c r="G19" s="7">
        <v>0</v>
      </c>
      <c r="H19" s="7">
        <v>5.0375999999999997E-2</v>
      </c>
      <c r="I19" s="7">
        <v>1.3680000000000001E-3</v>
      </c>
      <c r="J19" s="7">
        <v>4.9030000000000002E-3</v>
      </c>
    </row>
    <row r="20" spans="1:10" x14ac:dyDescent="0.25">
      <c r="A20" s="7" t="s">
        <v>93</v>
      </c>
      <c r="B20" s="7">
        <v>0.25</v>
      </c>
      <c r="C20" s="7">
        <v>69451</v>
      </c>
      <c r="D20" s="7">
        <v>6945</v>
      </c>
      <c r="E20" s="14">
        <f t="shared" si="0"/>
        <v>0.90000143986407677</v>
      </c>
      <c r="F20" s="7">
        <v>1</v>
      </c>
      <c r="G20" s="7">
        <v>0</v>
      </c>
      <c r="H20" s="7">
        <v>4.1800000000000002E-4</v>
      </c>
      <c r="I20" s="7">
        <v>4.8000000000000001E-5</v>
      </c>
      <c r="J20" s="7">
        <v>1.25E-4</v>
      </c>
    </row>
    <row r="21" spans="1:10" x14ac:dyDescent="0.25">
      <c r="A21" s="7" t="s">
        <v>93</v>
      </c>
      <c r="B21" s="7">
        <v>0.5</v>
      </c>
      <c r="C21" s="7">
        <v>69451</v>
      </c>
      <c r="D21" s="7">
        <v>6945</v>
      </c>
      <c r="E21" s="14">
        <f t="shared" si="0"/>
        <v>0.90000143986407677</v>
      </c>
      <c r="F21" s="7">
        <v>1</v>
      </c>
      <c r="G21" s="7">
        <v>0</v>
      </c>
      <c r="H21" s="7">
        <v>4.1800000000000002E-4</v>
      </c>
      <c r="I21" s="7">
        <v>4.8000000000000001E-5</v>
      </c>
      <c r="J21" s="7">
        <v>1.25E-4</v>
      </c>
    </row>
    <row r="22" spans="1:10" x14ac:dyDescent="0.25">
      <c r="A22" s="7" t="s">
        <v>93</v>
      </c>
      <c r="B22" s="7">
        <v>1</v>
      </c>
      <c r="C22" s="7">
        <v>69451</v>
      </c>
      <c r="D22" s="7">
        <v>6945</v>
      </c>
      <c r="E22" s="14">
        <f t="shared" si="0"/>
        <v>0.90000143986407677</v>
      </c>
      <c r="F22" s="7">
        <v>1</v>
      </c>
      <c r="G22" s="7">
        <v>0</v>
      </c>
      <c r="H22" s="7">
        <v>4.1800000000000002E-4</v>
      </c>
      <c r="I22" s="7">
        <v>4.8000000000000001E-5</v>
      </c>
      <c r="J22" s="7">
        <v>1.25E-4</v>
      </c>
    </row>
    <row r="23" spans="1:10" x14ac:dyDescent="0.25">
      <c r="A23" s="7" t="s">
        <v>93</v>
      </c>
      <c r="B23" s="7">
        <v>2</v>
      </c>
      <c r="C23" s="7">
        <v>69451</v>
      </c>
      <c r="D23" s="7">
        <v>6945</v>
      </c>
      <c r="E23" s="14">
        <f t="shared" si="0"/>
        <v>0.90000143986407677</v>
      </c>
      <c r="F23" s="7">
        <v>1</v>
      </c>
      <c r="G23" s="7">
        <v>0</v>
      </c>
      <c r="H23" s="7">
        <v>4.1800000000000002E-4</v>
      </c>
      <c r="I23" s="7">
        <v>4.8000000000000001E-5</v>
      </c>
      <c r="J23" s="7">
        <v>1.25E-4</v>
      </c>
    </row>
    <row r="24" spans="1:10" x14ac:dyDescent="0.25">
      <c r="A24" s="7" t="s">
        <v>93</v>
      </c>
      <c r="B24" s="7">
        <v>5</v>
      </c>
      <c r="C24" s="7">
        <v>69451</v>
      </c>
      <c r="D24" s="7">
        <v>6945</v>
      </c>
      <c r="E24" s="14">
        <f t="shared" si="0"/>
        <v>0.90000143986407677</v>
      </c>
      <c r="F24" s="7">
        <v>1</v>
      </c>
      <c r="G24" s="7">
        <v>0</v>
      </c>
      <c r="H24" s="7">
        <v>4.1800000000000002E-4</v>
      </c>
      <c r="I24" s="7">
        <v>4.8000000000000001E-5</v>
      </c>
      <c r="J24" s="7">
        <v>1.25E-4</v>
      </c>
    </row>
    <row r="25" spans="1:10" x14ac:dyDescent="0.25">
      <c r="A25" s="7" t="s">
        <v>99</v>
      </c>
      <c r="B25" s="7">
        <v>0.25</v>
      </c>
      <c r="C25" s="7">
        <v>1869988</v>
      </c>
      <c r="D25" s="7">
        <v>575314</v>
      </c>
      <c r="E25" s="14">
        <f t="shared" si="0"/>
        <v>0.69234348027901782</v>
      </c>
      <c r="F25" s="7">
        <v>3</v>
      </c>
      <c r="G25" s="7">
        <v>191779</v>
      </c>
      <c r="H25" s="7">
        <v>1.2324E-2</v>
      </c>
      <c r="I25" s="7">
        <v>1.4779999999999999E-3</v>
      </c>
      <c r="J25" s="7">
        <v>4.0359999999999997E-3</v>
      </c>
    </row>
    <row r="26" spans="1:10" x14ac:dyDescent="0.25">
      <c r="A26" s="7" t="s">
        <v>99</v>
      </c>
      <c r="B26" s="7">
        <v>0.5</v>
      </c>
      <c r="C26" s="7">
        <v>1869988</v>
      </c>
      <c r="D26" s="7">
        <v>478199</v>
      </c>
      <c r="E26" s="14">
        <f t="shared" si="0"/>
        <v>0.74427696862225856</v>
      </c>
      <c r="F26" s="7">
        <v>2</v>
      </c>
      <c r="G26" s="7">
        <v>2829</v>
      </c>
      <c r="H26" s="7">
        <v>1.1802E-2</v>
      </c>
      <c r="I26" s="7">
        <v>1.867E-3</v>
      </c>
      <c r="J26" s="7">
        <v>4.9439999999999996E-3</v>
      </c>
    </row>
    <row r="27" spans="1:10" x14ac:dyDescent="0.25">
      <c r="A27" s="7" t="s">
        <v>99</v>
      </c>
      <c r="B27" s="7">
        <v>1</v>
      </c>
      <c r="C27" s="7">
        <v>1869988</v>
      </c>
      <c r="D27" s="7">
        <v>186998</v>
      </c>
      <c r="E27" s="14">
        <f t="shared" si="0"/>
        <v>0.90000042781023193</v>
      </c>
      <c r="F27" s="7">
        <v>1</v>
      </c>
      <c r="G27" s="7">
        <v>0</v>
      </c>
      <c r="H27" s="7">
        <v>1.8800000000000001E-2</v>
      </c>
      <c r="I27" s="7">
        <v>2.1870000000000001E-3</v>
      </c>
      <c r="J27" s="7">
        <v>5.2059999999999997E-3</v>
      </c>
    </row>
    <row r="28" spans="1:10" x14ac:dyDescent="0.25">
      <c r="A28" s="7" t="s">
        <v>99</v>
      </c>
      <c r="B28" s="7">
        <v>2</v>
      </c>
      <c r="C28" s="7">
        <v>1869988</v>
      </c>
      <c r="D28" s="7">
        <v>186998</v>
      </c>
      <c r="E28" s="14">
        <f t="shared" si="0"/>
        <v>0.90000042781023193</v>
      </c>
      <c r="F28" s="7">
        <v>1</v>
      </c>
      <c r="G28" s="7">
        <v>0</v>
      </c>
      <c r="H28" s="7">
        <v>1.8800000000000001E-2</v>
      </c>
      <c r="I28" s="7">
        <v>2.1870000000000001E-3</v>
      </c>
      <c r="J28" s="7">
        <v>5.2059999999999997E-3</v>
      </c>
    </row>
    <row r="29" spans="1:10" x14ac:dyDescent="0.25">
      <c r="A29" s="7" t="s">
        <v>99</v>
      </c>
      <c r="B29" s="7">
        <v>5</v>
      </c>
      <c r="C29" s="7">
        <v>1869988</v>
      </c>
      <c r="D29" s="7">
        <v>186998</v>
      </c>
      <c r="E29" s="14">
        <f t="shared" si="0"/>
        <v>0.90000042781023193</v>
      </c>
      <c r="F29" s="7">
        <v>1</v>
      </c>
      <c r="G29" s="7">
        <v>0</v>
      </c>
      <c r="H29" s="7">
        <v>1.8800000000000001E-2</v>
      </c>
      <c r="I29" s="7">
        <v>2.1870000000000001E-3</v>
      </c>
      <c r="J29" s="7">
        <v>5.2059999999999997E-3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14" customWidth="1"/>
    <col min="3" max="4" width="11" customWidth="1"/>
    <col min="5" max="5" width="15" customWidth="1"/>
    <col min="6" max="7" width="14" customWidth="1"/>
    <col min="8" max="8" width="15" customWidth="1"/>
    <col min="9" max="10" width="10" customWidth="1"/>
  </cols>
  <sheetData>
    <row r="1" spans="1:10" ht="18" customHeight="1" x14ac:dyDescent="0.25">
      <c r="A1" s="8" t="s">
        <v>184</v>
      </c>
    </row>
    <row r="2" spans="1:10" x14ac:dyDescent="0.25">
      <c r="A2" s="9" t="s">
        <v>185</v>
      </c>
    </row>
    <row r="4" spans="1:10" ht="30" customHeight="1" x14ac:dyDescent="0.25">
      <c r="A4" s="5" t="s">
        <v>34</v>
      </c>
      <c r="B4" s="5" t="s">
        <v>186</v>
      </c>
      <c r="C4" s="5" t="s">
        <v>110</v>
      </c>
      <c r="D4" s="5" t="s">
        <v>111</v>
      </c>
      <c r="E4" s="5" t="s">
        <v>187</v>
      </c>
      <c r="F4" s="5" t="s">
        <v>188</v>
      </c>
      <c r="G4" s="5" t="s">
        <v>189</v>
      </c>
      <c r="H4" s="5" t="s">
        <v>190</v>
      </c>
      <c r="I4" s="5" t="s">
        <v>191</v>
      </c>
      <c r="J4" s="5" t="s">
        <v>143</v>
      </c>
    </row>
    <row r="5" spans="1:10" x14ac:dyDescent="0.25">
      <c r="A5" s="7" t="s">
        <v>62</v>
      </c>
      <c r="B5" s="7">
        <v>50</v>
      </c>
      <c r="C5" s="7">
        <v>13790</v>
      </c>
      <c r="D5" s="7">
        <v>6894</v>
      </c>
      <c r="E5" s="14">
        <f t="shared" ref="E5:E29" si="0">IFERROR(1-D5/C5,"")</f>
        <v>0.50007251631617111</v>
      </c>
      <c r="F5" s="7">
        <v>13790</v>
      </c>
      <c r="G5" s="7">
        <v>6894</v>
      </c>
      <c r="H5" s="14">
        <f t="shared" ref="H5:H29" si="1">IFERROR(1-G5/F5,"")</f>
        <v>0.50007251631617111</v>
      </c>
      <c r="I5" s="7">
        <v>1.31E-3</v>
      </c>
      <c r="J5" s="7">
        <v>1</v>
      </c>
    </row>
    <row r="6" spans="1:10" x14ac:dyDescent="0.25">
      <c r="A6" s="7" t="s">
        <v>62</v>
      </c>
      <c r="B6" s="7">
        <v>70</v>
      </c>
      <c r="C6" s="7">
        <v>13790</v>
      </c>
      <c r="D6" s="7">
        <v>6484</v>
      </c>
      <c r="E6" s="14">
        <f t="shared" si="0"/>
        <v>0.52980420594633792</v>
      </c>
      <c r="F6" s="7">
        <v>12766</v>
      </c>
      <c r="G6" s="7">
        <v>3829</v>
      </c>
      <c r="H6" s="14">
        <f t="shared" si="1"/>
        <v>0.70006266645777848</v>
      </c>
      <c r="I6" s="7">
        <v>3.3140000000000001E-3</v>
      </c>
      <c r="J6" s="7">
        <v>3</v>
      </c>
    </row>
    <row r="7" spans="1:10" x14ac:dyDescent="0.25">
      <c r="A7" s="7" t="s">
        <v>62</v>
      </c>
      <c r="B7" s="7">
        <v>80</v>
      </c>
      <c r="C7" s="7">
        <v>13790</v>
      </c>
      <c r="D7" s="7">
        <v>6452</v>
      </c>
      <c r="E7" s="14">
        <f t="shared" si="0"/>
        <v>0.53212472806381439</v>
      </c>
      <c r="F7" s="7">
        <v>12042</v>
      </c>
      <c r="G7" s="7">
        <v>2408</v>
      </c>
      <c r="H7" s="14">
        <f t="shared" si="1"/>
        <v>0.80003321707357578</v>
      </c>
      <c r="I7" s="7">
        <v>3.2959999999999999E-3</v>
      </c>
      <c r="J7" s="7">
        <v>2</v>
      </c>
    </row>
    <row r="8" spans="1:10" x14ac:dyDescent="0.25">
      <c r="A8" s="7" t="s">
        <v>62</v>
      </c>
      <c r="B8" s="7">
        <v>90</v>
      </c>
      <c r="C8" s="7">
        <v>13790</v>
      </c>
      <c r="D8" s="7">
        <v>5231</v>
      </c>
      <c r="E8" s="14">
        <f t="shared" si="0"/>
        <v>0.62066715010877449</v>
      </c>
      <c r="F8" s="7">
        <v>11261</v>
      </c>
      <c r="G8" s="7">
        <v>1126</v>
      </c>
      <c r="H8" s="14">
        <f t="shared" si="1"/>
        <v>0.90000888020602077</v>
      </c>
      <c r="I8" s="7">
        <v>7.9950000000000004E-3</v>
      </c>
      <c r="J8" s="7">
        <v>3</v>
      </c>
    </row>
    <row r="9" spans="1:10" x14ac:dyDescent="0.25">
      <c r="A9" s="7" t="s">
        <v>62</v>
      </c>
      <c r="B9" s="7">
        <v>95</v>
      </c>
      <c r="C9" s="7">
        <v>13790</v>
      </c>
      <c r="D9" s="7">
        <v>6358</v>
      </c>
      <c r="E9" s="14">
        <f t="shared" si="0"/>
        <v>0.53894126178390134</v>
      </c>
      <c r="F9" s="7">
        <v>9834</v>
      </c>
      <c r="G9" s="7">
        <v>491</v>
      </c>
      <c r="H9" s="14">
        <f t="shared" si="1"/>
        <v>0.95007118161480575</v>
      </c>
      <c r="I9" s="7">
        <v>2.3931999999999998E-2</v>
      </c>
      <c r="J9" s="7">
        <v>3</v>
      </c>
    </row>
    <row r="10" spans="1:10" x14ac:dyDescent="0.25">
      <c r="A10" s="7" t="s">
        <v>71</v>
      </c>
      <c r="B10" s="7">
        <v>50</v>
      </c>
      <c r="C10" s="7">
        <v>211874</v>
      </c>
      <c r="D10" s="7">
        <v>105936</v>
      </c>
      <c r="E10" s="14">
        <f t="shared" si="0"/>
        <v>0.50000471978628802</v>
      </c>
      <c r="F10" s="7">
        <v>211874</v>
      </c>
      <c r="G10" s="7">
        <v>105936</v>
      </c>
      <c r="H10" s="14">
        <f t="shared" si="1"/>
        <v>0.50000471978628802</v>
      </c>
      <c r="I10" s="7">
        <v>7.4330000000000004E-3</v>
      </c>
      <c r="J10" s="7">
        <v>1</v>
      </c>
    </row>
    <row r="11" spans="1:10" x14ac:dyDescent="0.25">
      <c r="A11" s="7" t="s">
        <v>71</v>
      </c>
      <c r="B11" s="7">
        <v>70</v>
      </c>
      <c r="C11" s="7">
        <v>211874</v>
      </c>
      <c r="D11" s="7">
        <v>63562</v>
      </c>
      <c r="E11" s="14">
        <f t="shared" si="0"/>
        <v>0.70000094395725765</v>
      </c>
      <c r="F11" s="7">
        <v>211874</v>
      </c>
      <c r="G11" s="7">
        <v>63562</v>
      </c>
      <c r="H11" s="14">
        <f t="shared" si="1"/>
        <v>0.70000094395725765</v>
      </c>
      <c r="I11" s="7">
        <v>7.4469999999999996E-3</v>
      </c>
      <c r="J11" s="7">
        <v>1</v>
      </c>
    </row>
    <row r="12" spans="1:10" x14ac:dyDescent="0.25">
      <c r="A12" s="7" t="s">
        <v>71</v>
      </c>
      <c r="B12" s="7">
        <v>80</v>
      </c>
      <c r="C12" s="7">
        <v>211874</v>
      </c>
      <c r="D12" s="7">
        <v>42372</v>
      </c>
      <c r="E12" s="14">
        <f t="shared" si="0"/>
        <v>0.80001321540160664</v>
      </c>
      <c r="F12" s="7">
        <v>211874</v>
      </c>
      <c r="G12" s="7">
        <v>42374</v>
      </c>
      <c r="H12" s="14">
        <f t="shared" si="1"/>
        <v>0.80000377582903048</v>
      </c>
      <c r="I12" s="7">
        <v>7.8560000000000001E-3</v>
      </c>
      <c r="J12" s="7">
        <v>1</v>
      </c>
    </row>
    <row r="13" spans="1:10" x14ac:dyDescent="0.25">
      <c r="A13" s="7" t="s">
        <v>71</v>
      </c>
      <c r="B13" s="7">
        <v>90</v>
      </c>
      <c r="C13" s="7">
        <v>211874</v>
      </c>
      <c r="D13" s="7">
        <v>42555</v>
      </c>
      <c r="E13" s="14">
        <f t="shared" si="0"/>
        <v>0.79914949451088857</v>
      </c>
      <c r="F13" s="7">
        <v>202363</v>
      </c>
      <c r="G13" s="7">
        <v>20236</v>
      </c>
      <c r="H13" s="14">
        <f t="shared" si="1"/>
        <v>0.90000148248444622</v>
      </c>
      <c r="I13" s="7">
        <v>5.5662999999999997E-2</v>
      </c>
      <c r="J13" s="7">
        <v>3</v>
      </c>
    </row>
    <row r="14" spans="1:10" x14ac:dyDescent="0.25">
      <c r="A14" s="7" t="s">
        <v>71</v>
      </c>
      <c r="B14" s="7">
        <v>95</v>
      </c>
      <c r="C14" s="7">
        <v>211874</v>
      </c>
      <c r="D14" s="7">
        <v>36457</v>
      </c>
      <c r="E14" s="14">
        <f t="shared" si="0"/>
        <v>0.82793075129558136</v>
      </c>
      <c r="F14" s="7">
        <v>196329</v>
      </c>
      <c r="G14" s="7">
        <v>9815</v>
      </c>
      <c r="H14" s="14">
        <f t="shared" si="1"/>
        <v>0.95000738556199038</v>
      </c>
      <c r="I14" s="7">
        <v>0.19270200000000001</v>
      </c>
      <c r="J14" s="7">
        <v>3</v>
      </c>
    </row>
    <row r="15" spans="1:10" x14ac:dyDescent="0.25">
      <c r="A15" s="7" t="s">
        <v>80</v>
      </c>
      <c r="B15" s="7">
        <v>50</v>
      </c>
      <c r="C15" s="7">
        <v>405680</v>
      </c>
      <c r="D15" s="7">
        <v>202840</v>
      </c>
      <c r="E15" s="14">
        <f t="shared" si="0"/>
        <v>0.5</v>
      </c>
      <c r="F15" s="7">
        <v>405680</v>
      </c>
      <c r="G15" s="7">
        <v>202840</v>
      </c>
      <c r="H15" s="14">
        <f t="shared" si="1"/>
        <v>0.5</v>
      </c>
      <c r="I15" s="7">
        <v>3.2469999999999999E-3</v>
      </c>
      <c r="J15" s="7">
        <v>1</v>
      </c>
    </row>
    <row r="16" spans="1:10" x14ac:dyDescent="0.25">
      <c r="A16" s="7" t="s">
        <v>80</v>
      </c>
      <c r="B16" s="7">
        <v>70</v>
      </c>
      <c r="C16" s="7">
        <v>405680</v>
      </c>
      <c r="D16" s="7">
        <v>121695</v>
      </c>
      <c r="E16" s="14">
        <f t="shared" si="0"/>
        <v>0.70002218497337809</v>
      </c>
      <c r="F16" s="7">
        <v>405680</v>
      </c>
      <c r="G16" s="7">
        <v>121704</v>
      </c>
      <c r="H16" s="14">
        <f t="shared" si="1"/>
        <v>0.7</v>
      </c>
      <c r="I16" s="7">
        <v>4.1449E-2</v>
      </c>
      <c r="J16" s="7">
        <v>1</v>
      </c>
    </row>
    <row r="17" spans="1:10" x14ac:dyDescent="0.25">
      <c r="A17" s="7" t="s">
        <v>80</v>
      </c>
      <c r="B17" s="7">
        <v>80</v>
      </c>
      <c r="C17" s="7">
        <v>405680</v>
      </c>
      <c r="D17" s="7">
        <v>81131</v>
      </c>
      <c r="E17" s="14">
        <f t="shared" si="0"/>
        <v>0.80001232498521002</v>
      </c>
      <c r="F17" s="7">
        <v>405680</v>
      </c>
      <c r="G17" s="7">
        <v>81136</v>
      </c>
      <c r="H17" s="14">
        <f t="shared" si="1"/>
        <v>0.8</v>
      </c>
      <c r="I17" s="7">
        <v>4.5512999999999998E-2</v>
      </c>
      <c r="J17" s="7">
        <v>1</v>
      </c>
    </row>
    <row r="18" spans="1:10" x14ac:dyDescent="0.25">
      <c r="A18" s="7" t="s">
        <v>80</v>
      </c>
      <c r="B18" s="7">
        <v>90</v>
      </c>
      <c r="C18" s="7">
        <v>405680</v>
      </c>
      <c r="D18" s="7">
        <v>98032</v>
      </c>
      <c r="E18" s="14">
        <f t="shared" si="0"/>
        <v>0.75835140997830797</v>
      </c>
      <c r="F18" s="7">
        <v>390925</v>
      </c>
      <c r="G18" s="7">
        <v>39092</v>
      </c>
      <c r="H18" s="14">
        <f t="shared" si="1"/>
        <v>0.90000127901771443</v>
      </c>
      <c r="I18" s="7">
        <v>0.36501400000000001</v>
      </c>
      <c r="J18" s="7">
        <v>3</v>
      </c>
    </row>
    <row r="19" spans="1:10" x14ac:dyDescent="0.25">
      <c r="A19" s="7" t="s">
        <v>80</v>
      </c>
      <c r="B19" s="7">
        <v>95</v>
      </c>
      <c r="C19" s="7">
        <v>405680</v>
      </c>
      <c r="D19" s="7">
        <v>48046</v>
      </c>
      <c r="E19" s="14">
        <f t="shared" si="0"/>
        <v>0.88156675211989743</v>
      </c>
      <c r="F19" s="7">
        <v>401031</v>
      </c>
      <c r="G19" s="7">
        <v>20051</v>
      </c>
      <c r="H19" s="14">
        <f t="shared" si="1"/>
        <v>0.95000137146504882</v>
      </c>
      <c r="I19" s="7">
        <v>0.31517000000000001</v>
      </c>
      <c r="J19" s="7">
        <v>3</v>
      </c>
    </row>
    <row r="20" spans="1:10" x14ac:dyDescent="0.25">
      <c r="A20" s="7" t="s">
        <v>93</v>
      </c>
      <c r="B20" s="7">
        <v>50</v>
      </c>
      <c r="C20" s="7">
        <v>69451</v>
      </c>
      <c r="D20" s="7">
        <v>34725</v>
      </c>
      <c r="E20" s="14">
        <f t="shared" si="0"/>
        <v>0.50000719932038418</v>
      </c>
      <c r="F20" s="7">
        <v>69451</v>
      </c>
      <c r="G20" s="7">
        <v>34725</v>
      </c>
      <c r="H20" s="14">
        <f t="shared" si="1"/>
        <v>0.50000719932038418</v>
      </c>
      <c r="I20" s="7">
        <v>6.8999999999999997E-5</v>
      </c>
      <c r="J20" s="7">
        <v>1</v>
      </c>
    </row>
    <row r="21" spans="1:10" x14ac:dyDescent="0.25">
      <c r="A21" s="7" t="s">
        <v>93</v>
      </c>
      <c r="B21" s="7">
        <v>70</v>
      </c>
      <c r="C21" s="7">
        <v>69451</v>
      </c>
      <c r="D21" s="7">
        <v>20835</v>
      </c>
      <c r="E21" s="14">
        <f t="shared" si="0"/>
        <v>0.70000431959223053</v>
      </c>
      <c r="F21" s="7">
        <v>69451</v>
      </c>
      <c r="G21" s="7">
        <v>20835</v>
      </c>
      <c r="H21" s="14">
        <f t="shared" si="1"/>
        <v>0.70000431959223053</v>
      </c>
      <c r="I21" s="7">
        <v>1.3100000000000001E-4</v>
      </c>
      <c r="J21" s="7">
        <v>1</v>
      </c>
    </row>
    <row r="22" spans="1:10" x14ac:dyDescent="0.25">
      <c r="A22" s="7" t="s">
        <v>93</v>
      </c>
      <c r="B22" s="7">
        <v>80</v>
      </c>
      <c r="C22" s="7">
        <v>69451</v>
      </c>
      <c r="D22" s="7">
        <v>13890</v>
      </c>
      <c r="E22" s="14">
        <f t="shared" si="0"/>
        <v>0.80000287972815365</v>
      </c>
      <c r="F22" s="7">
        <v>69451</v>
      </c>
      <c r="G22" s="7">
        <v>13890</v>
      </c>
      <c r="H22" s="14">
        <f t="shared" si="1"/>
        <v>0.80000287972815365</v>
      </c>
      <c r="I22" s="7">
        <v>2.13E-4</v>
      </c>
      <c r="J22" s="7">
        <v>1</v>
      </c>
    </row>
    <row r="23" spans="1:10" x14ac:dyDescent="0.25">
      <c r="A23" s="7" t="s">
        <v>93</v>
      </c>
      <c r="B23" s="7">
        <v>90</v>
      </c>
      <c r="C23" s="7">
        <v>69451</v>
      </c>
      <c r="D23" s="7">
        <v>6945</v>
      </c>
      <c r="E23" s="14">
        <f t="shared" si="0"/>
        <v>0.90000143986407677</v>
      </c>
      <c r="F23" s="7">
        <v>69451</v>
      </c>
      <c r="G23" s="7">
        <v>6945</v>
      </c>
      <c r="H23" s="14">
        <f t="shared" si="1"/>
        <v>0.90000143986407677</v>
      </c>
      <c r="I23" s="7">
        <v>4.1800000000000002E-4</v>
      </c>
      <c r="J23" s="7">
        <v>1</v>
      </c>
    </row>
    <row r="24" spans="1:10" x14ac:dyDescent="0.25">
      <c r="A24" s="7" t="s">
        <v>93</v>
      </c>
      <c r="B24" s="7">
        <v>95</v>
      </c>
      <c r="C24" s="7">
        <v>69451</v>
      </c>
      <c r="D24" s="7">
        <v>3472</v>
      </c>
      <c r="E24" s="14">
        <f t="shared" si="0"/>
        <v>0.95000791925242256</v>
      </c>
      <c r="F24" s="7">
        <v>69451</v>
      </c>
      <c r="G24" s="7">
        <v>3472</v>
      </c>
      <c r="H24" s="14">
        <f t="shared" si="1"/>
        <v>0.95000791925242256</v>
      </c>
      <c r="I24" s="7">
        <v>7.0600000000000003E-4</v>
      </c>
      <c r="J24" s="7">
        <v>1</v>
      </c>
    </row>
    <row r="25" spans="1:10" x14ac:dyDescent="0.25">
      <c r="A25" s="7" t="s">
        <v>99</v>
      </c>
      <c r="B25" s="7">
        <v>50</v>
      </c>
      <c r="C25" s="7">
        <v>1869988</v>
      </c>
      <c r="D25" s="7">
        <v>934994</v>
      </c>
      <c r="E25" s="14">
        <f t="shared" si="0"/>
        <v>0.5</v>
      </c>
      <c r="F25" s="7">
        <v>1869988</v>
      </c>
      <c r="G25" s="7">
        <v>934994</v>
      </c>
      <c r="H25" s="14">
        <f t="shared" si="1"/>
        <v>0.5</v>
      </c>
      <c r="I25" s="7">
        <v>6.574E-3</v>
      </c>
      <c r="J25" s="7">
        <v>1</v>
      </c>
    </row>
    <row r="26" spans="1:10" x14ac:dyDescent="0.25">
      <c r="A26" s="7" t="s">
        <v>99</v>
      </c>
      <c r="B26" s="7">
        <v>70</v>
      </c>
      <c r="C26" s="7">
        <v>1869988</v>
      </c>
      <c r="D26" s="7">
        <v>560996</v>
      </c>
      <c r="E26" s="14">
        <f t="shared" si="0"/>
        <v>0.70000021390511602</v>
      </c>
      <c r="F26" s="7">
        <v>1869988</v>
      </c>
      <c r="G26" s="7">
        <v>560996</v>
      </c>
      <c r="H26" s="14">
        <f t="shared" si="1"/>
        <v>0.70000021390511602</v>
      </c>
      <c r="I26" s="7">
        <v>9.6950000000000005E-3</v>
      </c>
      <c r="J26" s="7">
        <v>1</v>
      </c>
    </row>
    <row r="27" spans="1:10" x14ac:dyDescent="0.25">
      <c r="A27" s="7" t="s">
        <v>99</v>
      </c>
      <c r="B27" s="7">
        <v>80</v>
      </c>
      <c r="C27" s="7">
        <v>1869988</v>
      </c>
      <c r="D27" s="7">
        <v>373997</v>
      </c>
      <c r="E27" s="14">
        <f t="shared" si="0"/>
        <v>0.80000032085767392</v>
      </c>
      <c r="F27" s="7">
        <v>1869988</v>
      </c>
      <c r="G27" s="7">
        <v>373997</v>
      </c>
      <c r="H27" s="14">
        <f t="shared" si="1"/>
        <v>0.80000032085767392</v>
      </c>
      <c r="I27" s="7">
        <v>1.2197E-2</v>
      </c>
      <c r="J27" s="7">
        <v>1</v>
      </c>
    </row>
    <row r="28" spans="1:10" x14ac:dyDescent="0.25">
      <c r="A28" s="7" t="s">
        <v>99</v>
      </c>
      <c r="B28" s="7">
        <v>90</v>
      </c>
      <c r="C28" s="7">
        <v>1869988</v>
      </c>
      <c r="D28" s="7">
        <v>186998</v>
      </c>
      <c r="E28" s="14">
        <f t="shared" si="0"/>
        <v>0.90000042781023193</v>
      </c>
      <c r="F28" s="7">
        <v>1869988</v>
      </c>
      <c r="G28" s="7">
        <v>186998</v>
      </c>
      <c r="H28" s="14">
        <f t="shared" si="1"/>
        <v>0.90000042781023193</v>
      </c>
      <c r="I28" s="7">
        <v>1.8800000000000001E-2</v>
      </c>
      <c r="J28" s="7">
        <v>1</v>
      </c>
    </row>
    <row r="29" spans="1:10" x14ac:dyDescent="0.25">
      <c r="A29" s="7" t="s">
        <v>99</v>
      </c>
      <c r="B29" s="7">
        <v>95</v>
      </c>
      <c r="C29" s="7">
        <v>1869988</v>
      </c>
      <c r="D29" s="7">
        <v>265646</v>
      </c>
      <c r="E29" s="14">
        <f t="shared" si="0"/>
        <v>0.85794240390847432</v>
      </c>
      <c r="F29" s="7">
        <v>1869984</v>
      </c>
      <c r="G29" s="7">
        <v>93499</v>
      </c>
      <c r="H29" s="14">
        <f t="shared" si="1"/>
        <v>0.9500001069527868</v>
      </c>
      <c r="I29" s="7">
        <v>2.3574000000000001E-2</v>
      </c>
      <c r="J29" s="7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12" customWidth="1"/>
    <col min="3" max="3" width="15" customWidth="1"/>
    <col min="4" max="5" width="11" customWidth="1"/>
    <col min="6" max="6" width="12" customWidth="1"/>
    <col min="7" max="8" width="10" customWidth="1"/>
    <col min="9" max="9" width="11" customWidth="1"/>
    <col min="10" max="10" width="10" customWidth="1"/>
    <col min="11" max="11" width="12" customWidth="1"/>
    <col min="12" max="12" width="20" customWidth="1"/>
  </cols>
  <sheetData>
    <row r="1" spans="1:12" ht="18" customHeight="1" x14ac:dyDescent="0.25">
      <c r="A1" s="8" t="s">
        <v>192</v>
      </c>
    </row>
    <row r="2" spans="1:12" x14ac:dyDescent="0.25">
      <c r="A2" s="9" t="s">
        <v>193</v>
      </c>
    </row>
    <row r="4" spans="1:12" ht="30" customHeight="1" x14ac:dyDescent="0.25">
      <c r="A4" s="5" t="s">
        <v>34</v>
      </c>
      <c r="B4" s="5" t="s">
        <v>194</v>
      </c>
      <c r="C4" s="5" t="s">
        <v>186</v>
      </c>
      <c r="D4" s="5" t="s">
        <v>110</v>
      </c>
      <c r="E4" s="5" t="s">
        <v>111</v>
      </c>
      <c r="F4" s="5" t="s">
        <v>195</v>
      </c>
      <c r="G4" s="5" t="s">
        <v>191</v>
      </c>
      <c r="H4" s="5" t="s">
        <v>196</v>
      </c>
      <c r="I4" s="5" t="s">
        <v>144</v>
      </c>
      <c r="J4" s="5" t="s">
        <v>143</v>
      </c>
      <c r="K4" s="5" t="s">
        <v>197</v>
      </c>
      <c r="L4" s="5" t="s">
        <v>198</v>
      </c>
    </row>
    <row r="5" spans="1:12" x14ac:dyDescent="0.25">
      <c r="A5" s="7" t="s">
        <v>45</v>
      </c>
      <c r="B5" s="7" t="s">
        <v>199</v>
      </c>
      <c r="C5" s="7">
        <v>90</v>
      </c>
      <c r="D5" s="7">
        <v>59996</v>
      </c>
      <c r="E5" s="7">
        <v>14124</v>
      </c>
      <c r="F5" s="14">
        <f t="shared" ref="F5:F42" si="0">IFERROR(1-E5/D5,"")</f>
        <v>0.76458430562037472</v>
      </c>
      <c r="G5" s="7">
        <v>3.249123</v>
      </c>
      <c r="H5" s="7">
        <v>0.16586300000000001</v>
      </c>
      <c r="I5" s="7">
        <v>0.377</v>
      </c>
      <c r="J5" s="7">
        <v>0</v>
      </c>
      <c r="K5" s="7">
        <v>0</v>
      </c>
      <c r="L5" s="7">
        <v>4286</v>
      </c>
    </row>
    <row r="6" spans="1:12" x14ac:dyDescent="0.25">
      <c r="A6" s="7" t="s">
        <v>45</v>
      </c>
      <c r="B6" s="7" t="s">
        <v>200</v>
      </c>
      <c r="C6" s="7">
        <v>90</v>
      </c>
      <c r="D6" s="7">
        <v>59996</v>
      </c>
      <c r="E6" s="7">
        <v>5999</v>
      </c>
      <c r="F6" s="14">
        <f t="shared" si="0"/>
        <v>0.90001000066671111</v>
      </c>
      <c r="G6" s="7">
        <v>1.8974869999999999</v>
      </c>
      <c r="H6" s="7">
        <v>0.17016200000000001</v>
      </c>
      <c r="I6" s="7">
        <v>0.621</v>
      </c>
      <c r="J6" s="7">
        <v>0</v>
      </c>
      <c r="K6" s="7">
        <v>0</v>
      </c>
      <c r="L6" s="7">
        <v>4285</v>
      </c>
    </row>
    <row r="7" spans="1:12" x14ac:dyDescent="0.25">
      <c r="A7" s="7" t="s">
        <v>52</v>
      </c>
      <c r="B7" s="7" t="s">
        <v>199</v>
      </c>
      <c r="C7" s="7">
        <v>90</v>
      </c>
      <c r="D7" s="7">
        <v>15000</v>
      </c>
      <c r="E7" s="7">
        <v>5120</v>
      </c>
      <c r="F7" s="14">
        <f t="shared" si="0"/>
        <v>0.65866666666666673</v>
      </c>
      <c r="G7" s="7">
        <v>0.25485799999999997</v>
      </c>
      <c r="H7" s="7">
        <v>1.5509999999999999E-2</v>
      </c>
      <c r="I7" s="7">
        <v>9.1999999999999998E-2</v>
      </c>
      <c r="J7" s="7">
        <v>0</v>
      </c>
      <c r="K7" s="7">
        <v>0</v>
      </c>
      <c r="L7" s="7">
        <v>704</v>
      </c>
    </row>
    <row r="8" spans="1:12" x14ac:dyDescent="0.25">
      <c r="A8" s="7" t="s">
        <v>52</v>
      </c>
      <c r="B8" s="7" t="s">
        <v>200</v>
      </c>
      <c r="C8" s="7">
        <v>90</v>
      </c>
      <c r="D8" s="7">
        <v>15000</v>
      </c>
      <c r="E8" s="7">
        <v>1500</v>
      </c>
      <c r="F8" s="14">
        <f t="shared" si="0"/>
        <v>0.9</v>
      </c>
      <c r="G8" s="7">
        <v>8.8752999999999999E-2</v>
      </c>
      <c r="H8" s="7">
        <v>1.3436E-2</v>
      </c>
      <c r="I8" s="7">
        <v>0.124</v>
      </c>
      <c r="J8" s="7">
        <v>0</v>
      </c>
      <c r="K8" s="7">
        <v>0</v>
      </c>
      <c r="L8" s="7">
        <v>704</v>
      </c>
    </row>
    <row r="9" spans="1:12" x14ac:dyDescent="0.25">
      <c r="A9" s="7" t="s">
        <v>55</v>
      </c>
      <c r="B9" s="7" t="s">
        <v>199</v>
      </c>
      <c r="C9" s="7">
        <v>90</v>
      </c>
      <c r="D9" s="7">
        <v>130504</v>
      </c>
      <c r="E9" s="7">
        <v>25864</v>
      </c>
      <c r="F9" s="14">
        <f t="shared" si="0"/>
        <v>0.80181450376999941</v>
      </c>
      <c r="G9" s="7">
        <v>0.77390899999999996</v>
      </c>
      <c r="H9" s="7">
        <v>6.0574999999999997E-2</v>
      </c>
      <c r="I9" s="7">
        <v>0.76900000000000002</v>
      </c>
      <c r="J9" s="7">
        <v>0</v>
      </c>
      <c r="K9" s="7">
        <v>0</v>
      </c>
      <c r="L9" s="7">
        <v>7466</v>
      </c>
    </row>
    <row r="10" spans="1:12" x14ac:dyDescent="0.25">
      <c r="A10" s="7" t="s">
        <v>55</v>
      </c>
      <c r="B10" s="7" t="s">
        <v>200</v>
      </c>
      <c r="C10" s="7">
        <v>90</v>
      </c>
      <c r="D10" s="7">
        <v>130504</v>
      </c>
      <c r="E10" s="7">
        <v>13049</v>
      </c>
      <c r="F10" s="14">
        <f t="shared" si="0"/>
        <v>0.90001072764053214</v>
      </c>
      <c r="G10" s="7">
        <v>0.35994500000000001</v>
      </c>
      <c r="H10" s="7">
        <v>4.011E-2</v>
      </c>
      <c r="I10" s="7">
        <v>1.3089999999999999</v>
      </c>
      <c r="J10" s="7">
        <v>0</v>
      </c>
      <c r="K10" s="7">
        <v>0</v>
      </c>
      <c r="L10" s="7">
        <v>7465</v>
      </c>
    </row>
    <row r="11" spans="1:12" x14ac:dyDescent="0.25">
      <c r="A11" s="7" t="s">
        <v>58</v>
      </c>
      <c r="B11" s="7" t="s">
        <v>199</v>
      </c>
      <c r="C11" s="7">
        <v>90</v>
      </c>
      <c r="D11" s="7">
        <v>1473</v>
      </c>
      <c r="E11" s="7">
        <v>1253</v>
      </c>
      <c r="F11" s="14">
        <f t="shared" si="0"/>
        <v>0.14935505770536317</v>
      </c>
      <c r="G11" s="7">
        <v>6.0289999999999996E-3</v>
      </c>
      <c r="H11" s="7">
        <v>6.3699999999999998E-4</v>
      </c>
      <c r="I11" s="7">
        <v>0.01</v>
      </c>
      <c r="J11" s="7">
        <v>0</v>
      </c>
      <c r="K11" s="7">
        <v>0</v>
      </c>
      <c r="L11" s="7">
        <v>747</v>
      </c>
    </row>
    <row r="12" spans="1:12" x14ac:dyDescent="0.25">
      <c r="A12" s="7" t="s">
        <v>58</v>
      </c>
      <c r="B12" s="7" t="s">
        <v>200</v>
      </c>
      <c r="C12" s="7">
        <v>90</v>
      </c>
      <c r="D12" s="7">
        <v>1473</v>
      </c>
      <c r="E12" s="7">
        <v>146</v>
      </c>
      <c r="F12" s="14">
        <f t="shared" si="0"/>
        <v>0.90088255261371353</v>
      </c>
      <c r="G12" s="7">
        <v>7.9154540000000004</v>
      </c>
      <c r="H12" s="7">
        <v>6.3258999999999996E-2</v>
      </c>
      <c r="I12" s="7">
        <v>2.1000000000000001E-2</v>
      </c>
      <c r="J12" s="7">
        <v>0</v>
      </c>
      <c r="K12" s="7">
        <v>0</v>
      </c>
      <c r="L12" s="7">
        <v>156</v>
      </c>
    </row>
    <row r="13" spans="1:12" x14ac:dyDescent="0.25">
      <c r="A13" s="7" t="s">
        <v>62</v>
      </c>
      <c r="B13" s="7" t="s">
        <v>199</v>
      </c>
      <c r="C13" s="7">
        <v>90</v>
      </c>
      <c r="D13" s="7">
        <v>13790</v>
      </c>
      <c r="E13" s="7">
        <v>9762</v>
      </c>
      <c r="F13" s="14">
        <f t="shared" si="0"/>
        <v>0.29209572153734586</v>
      </c>
      <c r="G13" s="7">
        <v>4.1089999999999998E-3</v>
      </c>
      <c r="H13" s="7">
        <v>8.2999999999999998E-5</v>
      </c>
      <c r="I13" s="7">
        <v>0.112</v>
      </c>
      <c r="J13" s="7">
        <v>0</v>
      </c>
      <c r="K13" s="7">
        <v>0</v>
      </c>
      <c r="L13" s="7">
        <v>4222</v>
      </c>
    </row>
    <row r="14" spans="1:12" x14ac:dyDescent="0.25">
      <c r="A14" s="7" t="s">
        <v>62</v>
      </c>
      <c r="B14" s="7" t="s">
        <v>200</v>
      </c>
      <c r="C14" s="7">
        <v>90</v>
      </c>
      <c r="D14" s="7">
        <v>13790</v>
      </c>
      <c r="E14" s="7">
        <v>1376</v>
      </c>
      <c r="F14" s="14">
        <f t="shared" si="0"/>
        <v>0.90021754894851336</v>
      </c>
      <c r="G14" s="7">
        <v>2.0695999999999999E-2</v>
      </c>
      <c r="H14" s="7">
        <v>1.0610000000000001E-3</v>
      </c>
      <c r="I14" s="7">
        <v>0.185</v>
      </c>
      <c r="J14" s="7">
        <v>0</v>
      </c>
      <c r="K14" s="7">
        <v>0</v>
      </c>
      <c r="L14" s="7">
        <v>1662</v>
      </c>
    </row>
    <row r="15" spans="1:12" x14ac:dyDescent="0.25">
      <c r="A15" s="7" t="s">
        <v>64</v>
      </c>
      <c r="B15" s="7" t="s">
        <v>199</v>
      </c>
      <c r="C15" s="7">
        <v>90</v>
      </c>
      <c r="D15" s="7">
        <v>2752</v>
      </c>
      <c r="E15" s="7">
        <v>1654</v>
      </c>
      <c r="F15" s="14">
        <f t="shared" si="0"/>
        <v>0.39898255813953487</v>
      </c>
      <c r="G15" s="7">
        <v>5.189E-3</v>
      </c>
      <c r="H15" s="7">
        <v>1.73E-4</v>
      </c>
      <c r="I15" s="7">
        <v>1.7999999999999999E-2</v>
      </c>
      <c r="J15" s="7">
        <v>0</v>
      </c>
      <c r="K15" s="7">
        <v>0</v>
      </c>
      <c r="L15" s="7">
        <v>562</v>
      </c>
    </row>
    <row r="16" spans="1:12" x14ac:dyDescent="0.25">
      <c r="A16" s="7" t="s">
        <v>64</v>
      </c>
      <c r="B16" s="7" t="s">
        <v>200</v>
      </c>
      <c r="C16" s="7">
        <v>90</v>
      </c>
      <c r="D16" s="7">
        <v>2752</v>
      </c>
      <c r="E16" s="7">
        <v>273</v>
      </c>
      <c r="F16" s="14">
        <f t="shared" si="0"/>
        <v>0.90079941860465118</v>
      </c>
      <c r="G16" s="7">
        <v>1.0291E-2</v>
      </c>
      <c r="H16" s="7">
        <v>1.5659999999999999E-3</v>
      </c>
      <c r="I16" s="7">
        <v>3.3000000000000002E-2</v>
      </c>
      <c r="J16" s="7">
        <v>0</v>
      </c>
      <c r="K16" s="7">
        <v>0</v>
      </c>
      <c r="L16" s="7">
        <v>281</v>
      </c>
    </row>
    <row r="17" spans="1:12" x14ac:dyDescent="0.25">
      <c r="A17" s="7" t="s">
        <v>66</v>
      </c>
      <c r="B17" s="7" t="s">
        <v>199</v>
      </c>
      <c r="C17" s="7">
        <v>90</v>
      </c>
      <c r="D17" s="7">
        <v>3410</v>
      </c>
      <c r="E17" s="7">
        <v>2516</v>
      </c>
      <c r="F17" s="14">
        <f t="shared" si="0"/>
        <v>0.26217008797653962</v>
      </c>
      <c r="G17" s="7">
        <v>2.049E-3</v>
      </c>
      <c r="H17" s="7">
        <v>7.2999999999999999E-5</v>
      </c>
      <c r="I17" s="7">
        <v>2.1999999999999999E-2</v>
      </c>
      <c r="J17" s="7">
        <v>0</v>
      </c>
      <c r="K17" s="7">
        <v>0</v>
      </c>
      <c r="L17" s="7">
        <v>1108</v>
      </c>
    </row>
    <row r="18" spans="1:12" x14ac:dyDescent="0.25">
      <c r="A18" s="7" t="s">
        <v>66</v>
      </c>
      <c r="B18" s="7" t="s">
        <v>200</v>
      </c>
      <c r="C18" s="7">
        <v>90</v>
      </c>
      <c r="D18" s="7">
        <v>3410</v>
      </c>
      <c r="E18" s="7">
        <v>341</v>
      </c>
      <c r="F18" s="14">
        <f t="shared" si="0"/>
        <v>0.9</v>
      </c>
      <c r="G18" s="7">
        <v>0.120907</v>
      </c>
      <c r="H18" s="7">
        <v>2.5409999999999999E-3</v>
      </c>
      <c r="I18" s="7">
        <v>3.6999999999999998E-2</v>
      </c>
      <c r="J18" s="7">
        <v>0</v>
      </c>
      <c r="K18" s="7">
        <v>0</v>
      </c>
      <c r="L18" s="7">
        <v>419</v>
      </c>
    </row>
    <row r="19" spans="1:12" x14ac:dyDescent="0.25">
      <c r="A19" s="7" t="s">
        <v>69</v>
      </c>
      <c r="B19" s="7" t="s">
        <v>199</v>
      </c>
      <c r="C19" s="7">
        <v>90</v>
      </c>
      <c r="D19" s="7">
        <v>2926</v>
      </c>
      <c r="E19" s="7">
        <v>1908</v>
      </c>
      <c r="F19" s="14">
        <f t="shared" si="0"/>
        <v>0.34791524265208473</v>
      </c>
      <c r="G19" s="7">
        <v>2.6919999999999999E-3</v>
      </c>
      <c r="H19" s="7">
        <v>1.2999999999999999E-4</v>
      </c>
      <c r="I19" s="7">
        <v>1.7999999999999999E-2</v>
      </c>
      <c r="J19" s="7">
        <v>0</v>
      </c>
      <c r="K19" s="7">
        <v>0</v>
      </c>
      <c r="L19" s="7">
        <v>1468</v>
      </c>
    </row>
    <row r="20" spans="1:12" x14ac:dyDescent="0.25">
      <c r="A20" s="7" t="s">
        <v>69</v>
      </c>
      <c r="B20" s="7" t="s">
        <v>200</v>
      </c>
      <c r="C20" s="7">
        <v>90</v>
      </c>
      <c r="D20" s="7">
        <v>2926</v>
      </c>
      <c r="E20" s="7">
        <v>292</v>
      </c>
      <c r="F20" s="14">
        <f t="shared" si="0"/>
        <v>0.9002050580997949</v>
      </c>
      <c r="G20" s="7">
        <v>4.5407000000000003E-2</v>
      </c>
      <c r="H20" s="7">
        <v>1.725E-3</v>
      </c>
      <c r="I20" s="7">
        <v>3.3000000000000002E-2</v>
      </c>
      <c r="J20" s="7">
        <v>0</v>
      </c>
      <c r="K20" s="7">
        <v>0</v>
      </c>
      <c r="L20" s="7">
        <v>410</v>
      </c>
    </row>
    <row r="21" spans="1:12" x14ac:dyDescent="0.25">
      <c r="A21" s="7" t="s">
        <v>71</v>
      </c>
      <c r="B21" s="7" t="s">
        <v>199</v>
      </c>
      <c r="C21" s="7">
        <v>90</v>
      </c>
      <c r="D21" s="7">
        <v>211874</v>
      </c>
      <c r="E21" s="7">
        <v>43548</v>
      </c>
      <c r="F21" s="14">
        <f t="shared" si="0"/>
        <v>0.79446274672682815</v>
      </c>
      <c r="G21" s="7">
        <v>9.2800000000000001E-3</v>
      </c>
      <c r="H21" s="7">
        <v>5.1699999999999999E-4</v>
      </c>
      <c r="I21" s="7">
        <v>1.331</v>
      </c>
      <c r="J21" s="7">
        <v>0</v>
      </c>
      <c r="K21" s="7">
        <v>0</v>
      </c>
      <c r="L21" s="7">
        <v>32448</v>
      </c>
    </row>
    <row r="22" spans="1:12" x14ac:dyDescent="0.25">
      <c r="A22" s="7" t="s">
        <v>71</v>
      </c>
      <c r="B22" s="7" t="s">
        <v>200</v>
      </c>
      <c r="C22" s="7">
        <v>90</v>
      </c>
      <c r="D22" s="7">
        <v>211874</v>
      </c>
      <c r="E22" s="7">
        <v>21172</v>
      </c>
      <c r="F22" s="14">
        <f t="shared" si="0"/>
        <v>0.90007268470883639</v>
      </c>
      <c r="G22" s="7">
        <v>5.0117000000000002E-2</v>
      </c>
      <c r="H22" s="7">
        <v>3.2160000000000001E-3</v>
      </c>
      <c r="I22" s="7">
        <v>2.6480000000000001</v>
      </c>
      <c r="J22" s="7">
        <v>0</v>
      </c>
      <c r="K22" s="7">
        <v>0</v>
      </c>
      <c r="L22" s="7">
        <v>20394</v>
      </c>
    </row>
    <row r="23" spans="1:12" x14ac:dyDescent="0.25">
      <c r="A23" s="7" t="s">
        <v>75</v>
      </c>
      <c r="B23" s="7" t="s">
        <v>199</v>
      </c>
      <c r="C23" s="7">
        <v>90</v>
      </c>
      <c r="D23" s="7">
        <v>446670</v>
      </c>
      <c r="E23" s="7">
        <v>128706</v>
      </c>
      <c r="F23" s="14">
        <f t="shared" si="0"/>
        <v>0.71185438914634958</v>
      </c>
      <c r="G23" s="7">
        <v>7.4510000000000002E-3</v>
      </c>
      <c r="H23" s="7">
        <v>2.92E-4</v>
      </c>
      <c r="I23" s="7">
        <v>3.206</v>
      </c>
      <c r="J23" s="7">
        <v>0</v>
      </c>
      <c r="K23" s="7">
        <v>0</v>
      </c>
      <c r="L23" s="7">
        <v>112520</v>
      </c>
    </row>
    <row r="24" spans="1:12" x14ac:dyDescent="0.25">
      <c r="A24" s="7" t="s">
        <v>75</v>
      </c>
      <c r="B24" s="7" t="s">
        <v>200</v>
      </c>
      <c r="C24" s="7">
        <v>90</v>
      </c>
      <c r="D24" s="7">
        <v>446670</v>
      </c>
      <c r="E24" s="7">
        <v>44633</v>
      </c>
      <c r="F24" s="14">
        <f t="shared" si="0"/>
        <v>0.9000761188349341</v>
      </c>
      <c r="G24" s="7">
        <v>3.6756999999999998E-2</v>
      </c>
      <c r="H24" s="7">
        <v>1.0690000000000001E-3</v>
      </c>
      <c r="I24" s="7">
        <v>5.4210000000000003</v>
      </c>
      <c r="J24" s="7">
        <v>0</v>
      </c>
      <c r="K24" s="7">
        <v>0</v>
      </c>
      <c r="L24" s="7">
        <v>41077</v>
      </c>
    </row>
    <row r="25" spans="1:12" x14ac:dyDescent="0.25">
      <c r="A25" s="7" t="s">
        <v>78</v>
      </c>
      <c r="B25" s="7" t="s">
        <v>199</v>
      </c>
      <c r="C25" s="7">
        <v>90</v>
      </c>
      <c r="D25" s="7">
        <v>108958</v>
      </c>
      <c r="E25" s="7">
        <v>15048</v>
      </c>
      <c r="F25" s="14">
        <f t="shared" si="0"/>
        <v>0.86189173810091968</v>
      </c>
      <c r="G25" s="7">
        <v>2.1687000000000001E-2</v>
      </c>
      <c r="H25" s="7">
        <v>1.3730000000000001E-3</v>
      </c>
      <c r="I25" s="7">
        <v>0.76100000000000001</v>
      </c>
      <c r="J25" s="7">
        <v>0</v>
      </c>
      <c r="K25" s="7">
        <v>0</v>
      </c>
      <c r="L25" s="7">
        <v>6344</v>
      </c>
    </row>
    <row r="26" spans="1:12" x14ac:dyDescent="0.25">
      <c r="A26" s="7" t="s">
        <v>78</v>
      </c>
      <c r="B26" s="7" t="s">
        <v>200</v>
      </c>
      <c r="C26" s="7">
        <v>90</v>
      </c>
      <c r="D26" s="7">
        <v>108958</v>
      </c>
      <c r="E26" s="7">
        <v>10890</v>
      </c>
      <c r="F26" s="14">
        <f t="shared" si="0"/>
        <v>0.9000532315204024</v>
      </c>
      <c r="G26" s="7">
        <v>3.7810000000000001E-3</v>
      </c>
      <c r="H26" s="7">
        <v>3.8200000000000002E-4</v>
      </c>
      <c r="I26" s="7">
        <v>1.2549999999999999</v>
      </c>
      <c r="J26" s="7">
        <v>0</v>
      </c>
      <c r="K26" s="7">
        <v>0</v>
      </c>
      <c r="L26" s="7">
        <v>6328</v>
      </c>
    </row>
    <row r="27" spans="1:12" x14ac:dyDescent="0.25">
      <c r="A27" s="7" t="s">
        <v>80</v>
      </c>
      <c r="B27" s="7" t="s">
        <v>199</v>
      </c>
      <c r="C27" s="7">
        <v>90</v>
      </c>
      <c r="D27" s="7">
        <v>405680</v>
      </c>
      <c r="E27" s="7">
        <v>184322</v>
      </c>
      <c r="F27" s="14">
        <f t="shared" si="0"/>
        <v>0.54564681522382175</v>
      </c>
      <c r="G27" s="7">
        <v>1.4432E-2</v>
      </c>
      <c r="H27" s="7">
        <v>3.3599999999999998E-4</v>
      </c>
      <c r="I27" s="7">
        <v>3.6179999999999999</v>
      </c>
      <c r="J27" s="7">
        <v>0</v>
      </c>
      <c r="K27" s="7">
        <v>0</v>
      </c>
      <c r="L27" s="7">
        <v>145090</v>
      </c>
    </row>
    <row r="28" spans="1:12" x14ac:dyDescent="0.25">
      <c r="A28" s="7" t="s">
        <v>80</v>
      </c>
      <c r="B28" s="7" t="s">
        <v>200</v>
      </c>
      <c r="C28" s="7">
        <v>90</v>
      </c>
      <c r="D28" s="7">
        <v>405680</v>
      </c>
      <c r="E28" s="7">
        <v>40563</v>
      </c>
      <c r="F28" s="14">
        <f t="shared" si="0"/>
        <v>0.90001232498521</v>
      </c>
      <c r="G28" s="7">
        <v>5.0375999999999997E-2</v>
      </c>
      <c r="H28" s="7">
        <v>1.3680000000000001E-3</v>
      </c>
      <c r="I28" s="7">
        <v>7.0069999999999997</v>
      </c>
      <c r="J28" s="7">
        <v>0</v>
      </c>
      <c r="K28" s="7">
        <v>0</v>
      </c>
      <c r="L28" s="7">
        <v>45243</v>
      </c>
    </row>
    <row r="29" spans="1:12" x14ac:dyDescent="0.25">
      <c r="A29" s="7" t="s">
        <v>83</v>
      </c>
      <c r="B29" s="7" t="s">
        <v>199</v>
      </c>
      <c r="C29" s="7">
        <v>90</v>
      </c>
      <c r="D29" s="7">
        <v>5912</v>
      </c>
      <c r="E29" s="7">
        <v>2360</v>
      </c>
      <c r="F29" s="14">
        <f t="shared" si="0"/>
        <v>0.60081190798376183</v>
      </c>
      <c r="G29" s="7">
        <v>1.879E-3</v>
      </c>
      <c r="H29" s="7">
        <v>1.6799999999999999E-4</v>
      </c>
      <c r="I29" s="7">
        <v>4.2000000000000003E-2</v>
      </c>
      <c r="J29" s="7">
        <v>0</v>
      </c>
      <c r="K29" s="7">
        <v>0</v>
      </c>
      <c r="L29" s="7">
        <v>0</v>
      </c>
    </row>
    <row r="30" spans="1:12" x14ac:dyDescent="0.25">
      <c r="A30" s="7" t="s">
        <v>83</v>
      </c>
      <c r="B30" s="7" t="s">
        <v>200</v>
      </c>
      <c r="C30" s="7">
        <v>90</v>
      </c>
      <c r="D30" s="7">
        <v>5912</v>
      </c>
      <c r="E30" s="7">
        <v>591</v>
      </c>
      <c r="F30" s="14">
        <f t="shared" si="0"/>
        <v>0.90003382949932342</v>
      </c>
      <c r="G30" s="7">
        <v>2.0441999999999998E-2</v>
      </c>
      <c r="H30" s="7">
        <v>3.2160000000000001E-3</v>
      </c>
      <c r="I30" s="7">
        <v>5.7000000000000002E-2</v>
      </c>
      <c r="J30" s="7">
        <v>0</v>
      </c>
      <c r="K30" s="7">
        <v>0</v>
      </c>
      <c r="L30" s="7">
        <v>1773</v>
      </c>
    </row>
    <row r="31" spans="1:12" x14ac:dyDescent="0.25">
      <c r="A31" s="7" t="s">
        <v>88</v>
      </c>
      <c r="B31" s="7" t="s">
        <v>199</v>
      </c>
      <c r="C31" s="7">
        <v>90</v>
      </c>
      <c r="D31" s="7">
        <v>16694</v>
      </c>
      <c r="E31" s="7">
        <v>11456</v>
      </c>
      <c r="F31" s="14">
        <f t="shared" si="0"/>
        <v>0.31376542470348623</v>
      </c>
      <c r="G31" s="7">
        <v>1.977E-3</v>
      </c>
      <c r="H31" s="7">
        <v>5.3000000000000001E-5</v>
      </c>
      <c r="I31" s="7">
        <v>0.126</v>
      </c>
      <c r="J31" s="7">
        <v>0</v>
      </c>
      <c r="K31" s="7">
        <v>0</v>
      </c>
      <c r="L31" s="7">
        <v>0</v>
      </c>
    </row>
    <row r="32" spans="1:12" x14ac:dyDescent="0.25">
      <c r="A32" s="7" t="s">
        <v>88</v>
      </c>
      <c r="B32" s="7" t="s">
        <v>200</v>
      </c>
      <c r="C32" s="7">
        <v>90</v>
      </c>
      <c r="D32" s="7">
        <v>16694</v>
      </c>
      <c r="E32" s="7">
        <v>1669</v>
      </c>
      <c r="F32" s="14">
        <f t="shared" si="0"/>
        <v>0.90002396070444468</v>
      </c>
      <c r="G32" s="7">
        <v>2.1684999999999999E-2</v>
      </c>
      <c r="H32" s="7">
        <v>3.7810000000000001E-3</v>
      </c>
      <c r="I32" s="7">
        <v>0.186</v>
      </c>
      <c r="J32" s="7">
        <v>0</v>
      </c>
      <c r="K32" s="7">
        <v>0</v>
      </c>
      <c r="L32" s="7">
        <v>5007</v>
      </c>
    </row>
    <row r="33" spans="1:12" x14ac:dyDescent="0.25">
      <c r="A33" s="7" t="s">
        <v>90</v>
      </c>
      <c r="B33" s="7" t="s">
        <v>199</v>
      </c>
      <c r="C33" s="7">
        <v>90</v>
      </c>
      <c r="D33" s="7">
        <v>63998</v>
      </c>
      <c r="E33" s="7">
        <v>21514</v>
      </c>
      <c r="F33" s="14">
        <f t="shared" si="0"/>
        <v>0.66383324478889971</v>
      </c>
      <c r="G33" s="7">
        <v>5.3889999999999997E-3</v>
      </c>
      <c r="H33" s="7">
        <v>2.2000000000000001E-4</v>
      </c>
      <c r="I33" s="7">
        <v>0.4</v>
      </c>
      <c r="J33" s="7">
        <v>0</v>
      </c>
      <c r="K33" s="7">
        <v>0</v>
      </c>
      <c r="L33" s="7">
        <v>4552</v>
      </c>
    </row>
    <row r="34" spans="1:12" x14ac:dyDescent="0.25">
      <c r="A34" s="7" t="s">
        <v>90</v>
      </c>
      <c r="B34" s="7" t="s">
        <v>200</v>
      </c>
      <c r="C34" s="7">
        <v>90</v>
      </c>
      <c r="D34" s="7">
        <v>63998</v>
      </c>
      <c r="E34" s="7">
        <v>6378</v>
      </c>
      <c r="F34" s="14">
        <f t="shared" si="0"/>
        <v>0.90034063564486388</v>
      </c>
      <c r="G34" s="7">
        <v>5.1440000000000001E-3</v>
      </c>
      <c r="H34" s="7">
        <v>5.2400000000000005E-4</v>
      </c>
      <c r="I34" s="7">
        <v>0.66500000000000004</v>
      </c>
      <c r="J34" s="7">
        <v>0</v>
      </c>
      <c r="K34" s="7">
        <v>0</v>
      </c>
      <c r="L34" s="7">
        <v>4560</v>
      </c>
    </row>
    <row r="35" spans="1:12" x14ac:dyDescent="0.25">
      <c r="A35" s="7" t="s">
        <v>93</v>
      </c>
      <c r="B35" s="7" t="s">
        <v>199</v>
      </c>
      <c r="C35" s="7">
        <v>90</v>
      </c>
      <c r="D35" s="7">
        <v>69451</v>
      </c>
      <c r="E35" s="7">
        <v>7715</v>
      </c>
      <c r="F35" s="14">
        <f t="shared" si="0"/>
        <v>0.88891448647247695</v>
      </c>
      <c r="G35" s="7">
        <v>2.5959999999999998E-3</v>
      </c>
      <c r="H35" s="7">
        <v>2.24E-4</v>
      </c>
      <c r="I35" s="7">
        <v>0.36499999999999999</v>
      </c>
      <c r="J35" s="7">
        <v>0</v>
      </c>
      <c r="K35" s="7">
        <v>0</v>
      </c>
      <c r="L35" s="7">
        <v>223</v>
      </c>
    </row>
    <row r="36" spans="1:12" x14ac:dyDescent="0.25">
      <c r="A36" s="7" t="s">
        <v>93</v>
      </c>
      <c r="B36" s="7" t="s">
        <v>200</v>
      </c>
      <c r="C36" s="7">
        <v>90</v>
      </c>
      <c r="D36" s="7">
        <v>69451</v>
      </c>
      <c r="E36" s="7">
        <v>6945</v>
      </c>
      <c r="F36" s="14">
        <f t="shared" si="0"/>
        <v>0.90000143986407677</v>
      </c>
      <c r="G36" s="7">
        <v>4.1800000000000002E-4</v>
      </c>
      <c r="H36" s="7">
        <v>4.8000000000000001E-5</v>
      </c>
      <c r="I36" s="7">
        <v>0.47299999999999998</v>
      </c>
      <c r="J36" s="7">
        <v>0</v>
      </c>
      <c r="K36" s="7">
        <v>0</v>
      </c>
      <c r="L36" s="7">
        <v>191</v>
      </c>
    </row>
    <row r="37" spans="1:12" x14ac:dyDescent="0.25">
      <c r="A37" s="7" t="s">
        <v>97</v>
      </c>
      <c r="B37" s="7" t="s">
        <v>199</v>
      </c>
      <c r="C37" s="7">
        <v>90</v>
      </c>
      <c r="D37" s="7">
        <v>345944</v>
      </c>
      <c r="E37" s="7">
        <v>48760</v>
      </c>
      <c r="F37" s="14">
        <f t="shared" si="0"/>
        <v>0.85905233216936849</v>
      </c>
      <c r="G37" s="7">
        <v>1.082819</v>
      </c>
      <c r="H37" s="7">
        <v>6.3159000000000007E-2</v>
      </c>
      <c r="I37" s="7">
        <v>2.8519999999999999</v>
      </c>
      <c r="J37" s="7">
        <v>0</v>
      </c>
      <c r="K37" s="7">
        <v>0</v>
      </c>
      <c r="L37" s="7">
        <v>0</v>
      </c>
    </row>
    <row r="38" spans="1:12" x14ac:dyDescent="0.25">
      <c r="A38" s="7" t="s">
        <v>97</v>
      </c>
      <c r="B38" s="7" t="s">
        <v>200</v>
      </c>
      <c r="C38" s="7">
        <v>90</v>
      </c>
      <c r="D38" s="7">
        <v>345944</v>
      </c>
      <c r="E38" s="7">
        <v>34594</v>
      </c>
      <c r="F38" s="14">
        <f t="shared" si="0"/>
        <v>0.9000011562565039</v>
      </c>
      <c r="G38" s="7">
        <v>0.174982</v>
      </c>
      <c r="H38" s="7">
        <v>1.941E-2</v>
      </c>
      <c r="I38" s="7">
        <v>3.8450000000000002</v>
      </c>
      <c r="J38" s="7">
        <v>0</v>
      </c>
      <c r="K38" s="7">
        <v>0</v>
      </c>
      <c r="L38" s="7">
        <v>0</v>
      </c>
    </row>
    <row r="39" spans="1:12" x14ac:dyDescent="0.25">
      <c r="A39" s="7" t="s">
        <v>99</v>
      </c>
      <c r="B39" s="7" t="s">
        <v>199</v>
      </c>
      <c r="C39" s="7">
        <v>90</v>
      </c>
      <c r="D39" s="7">
        <v>1869988</v>
      </c>
      <c r="E39" s="7">
        <v>186994</v>
      </c>
      <c r="F39" s="14">
        <f t="shared" si="0"/>
        <v>0.90000256686139157</v>
      </c>
      <c r="G39" s="7">
        <v>1.372E-3</v>
      </c>
      <c r="H39" s="7">
        <v>3.1000000000000001E-5</v>
      </c>
      <c r="I39" s="7">
        <v>27.135000000000002</v>
      </c>
      <c r="J39" s="7">
        <v>0</v>
      </c>
      <c r="K39" s="7">
        <v>0</v>
      </c>
      <c r="L39" s="7">
        <v>0</v>
      </c>
    </row>
    <row r="40" spans="1:12" x14ac:dyDescent="0.25">
      <c r="A40" s="7" t="s">
        <v>99</v>
      </c>
      <c r="B40" s="7" t="s">
        <v>200</v>
      </c>
      <c r="C40" s="7">
        <v>90</v>
      </c>
      <c r="D40" s="7">
        <v>1869988</v>
      </c>
      <c r="E40" s="7">
        <v>186998</v>
      </c>
      <c r="F40" s="14">
        <f t="shared" si="0"/>
        <v>0.90000042781023193</v>
      </c>
      <c r="G40" s="7">
        <v>1.8800000000000001E-2</v>
      </c>
      <c r="H40" s="7">
        <v>2.1870000000000001E-3</v>
      </c>
      <c r="I40" s="7">
        <v>24.113</v>
      </c>
      <c r="J40" s="7">
        <v>0</v>
      </c>
      <c r="K40" s="7">
        <v>0</v>
      </c>
      <c r="L40" s="7">
        <v>560994</v>
      </c>
    </row>
    <row r="41" spans="1:12" x14ac:dyDescent="0.25">
      <c r="A41" s="7" t="s">
        <v>104</v>
      </c>
      <c r="B41" s="7" t="s">
        <v>199</v>
      </c>
      <c r="C41" s="7">
        <v>90</v>
      </c>
      <c r="D41" s="7">
        <v>31400</v>
      </c>
      <c r="E41" s="7">
        <v>15032</v>
      </c>
      <c r="F41" s="14">
        <f t="shared" si="0"/>
        <v>0.52127388535031849</v>
      </c>
      <c r="G41" s="7">
        <v>3.0331E-2</v>
      </c>
      <c r="H41" s="7">
        <v>1.694E-3</v>
      </c>
      <c r="I41" s="7">
        <v>0.29499999999999998</v>
      </c>
      <c r="J41" s="7">
        <v>0</v>
      </c>
      <c r="K41" s="7">
        <v>0</v>
      </c>
      <c r="L41" s="7">
        <v>0</v>
      </c>
    </row>
    <row r="42" spans="1:12" x14ac:dyDescent="0.25">
      <c r="A42" s="7" t="s">
        <v>104</v>
      </c>
      <c r="B42" s="7" t="s">
        <v>200</v>
      </c>
      <c r="C42" s="7">
        <v>90</v>
      </c>
      <c r="D42" s="7">
        <v>31400</v>
      </c>
      <c r="E42" s="7">
        <v>3140</v>
      </c>
      <c r="F42" s="14">
        <f t="shared" si="0"/>
        <v>0.9</v>
      </c>
      <c r="G42" s="7">
        <v>0.12881300000000001</v>
      </c>
      <c r="H42" s="7">
        <v>2.3363999999999999E-2</v>
      </c>
      <c r="I42" s="7">
        <v>0.35199999999999998</v>
      </c>
      <c r="J42" s="7">
        <v>0</v>
      </c>
      <c r="K42" s="7">
        <v>0</v>
      </c>
      <c r="L42" s="7">
        <v>9420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3" width="18" customWidth="1"/>
    <col min="4" max="5" width="11" customWidth="1"/>
    <col min="6" max="6" width="14" customWidth="1"/>
    <col min="7" max="7" width="18" customWidth="1"/>
    <col min="8" max="8" width="24" customWidth="1"/>
  </cols>
  <sheetData>
    <row r="1" spans="1:8" ht="18" customHeight="1" x14ac:dyDescent="0.25">
      <c r="A1" s="8" t="s">
        <v>201</v>
      </c>
    </row>
    <row r="2" spans="1:8" ht="45" customHeight="1" x14ac:dyDescent="0.25">
      <c r="A2" s="9" t="s">
        <v>202</v>
      </c>
    </row>
    <row r="4" spans="1:8" ht="30" customHeight="1" x14ac:dyDescent="0.25">
      <c r="A4" s="5" t="s">
        <v>34</v>
      </c>
      <c r="B4" s="5" t="s">
        <v>203</v>
      </c>
      <c r="C4" s="5" t="s">
        <v>204</v>
      </c>
      <c r="D4" s="5" t="s">
        <v>205</v>
      </c>
      <c r="E4" s="5" t="s">
        <v>206</v>
      </c>
      <c r="F4" s="5" t="s">
        <v>207</v>
      </c>
      <c r="G4" s="5" t="s">
        <v>208</v>
      </c>
      <c r="H4" s="5" t="s">
        <v>209</v>
      </c>
    </row>
    <row r="5" spans="1:8" x14ac:dyDescent="0.25">
      <c r="A5" s="7" t="s">
        <v>210</v>
      </c>
      <c r="B5" s="7">
        <v>0</v>
      </c>
      <c r="C5" s="7">
        <v>0</v>
      </c>
      <c r="D5" s="14" t="str">
        <f t="shared" ref="D5:D19" si="0">IFERROR(C5/(C5+MAX(C5-B5,0)),"")</f>
        <v/>
      </c>
      <c r="E5" s="14" t="str">
        <f t="shared" ref="E5:E19" si="1">IFERROR(MIN(C5,B5)/B5,"")</f>
        <v/>
      </c>
      <c r="F5" s="7" t="s">
        <v>211</v>
      </c>
      <c r="G5" s="7" t="s">
        <v>211</v>
      </c>
      <c r="H5" s="7" t="s">
        <v>212</v>
      </c>
    </row>
    <row r="6" spans="1:8" x14ac:dyDescent="0.25">
      <c r="A6" s="7" t="s">
        <v>210</v>
      </c>
      <c r="B6" s="7">
        <v>0</v>
      </c>
      <c r="C6" s="7">
        <v>0</v>
      </c>
      <c r="D6" s="14" t="str">
        <f t="shared" si="0"/>
        <v/>
      </c>
      <c r="E6" s="14" t="str">
        <f t="shared" si="1"/>
        <v/>
      </c>
      <c r="F6" s="7" t="s">
        <v>212</v>
      </c>
      <c r="G6" s="7" t="s">
        <v>211</v>
      </c>
      <c r="H6" s="7" t="s">
        <v>212</v>
      </c>
    </row>
    <row r="7" spans="1:8" x14ac:dyDescent="0.25">
      <c r="A7" s="7" t="s">
        <v>213</v>
      </c>
      <c r="B7" s="7">
        <v>12</v>
      </c>
      <c r="C7" s="7">
        <v>12</v>
      </c>
      <c r="D7" s="14">
        <f t="shared" si="0"/>
        <v>1</v>
      </c>
      <c r="E7" s="14">
        <f t="shared" si="1"/>
        <v>1</v>
      </c>
      <c r="F7" s="7" t="s">
        <v>211</v>
      </c>
      <c r="G7" s="7" t="s">
        <v>211</v>
      </c>
      <c r="H7" s="7" t="s">
        <v>212</v>
      </c>
    </row>
    <row r="8" spans="1:8" x14ac:dyDescent="0.25">
      <c r="A8" s="7" t="s">
        <v>213</v>
      </c>
      <c r="B8" s="7">
        <v>12</v>
      </c>
      <c r="C8" s="7">
        <v>12</v>
      </c>
      <c r="D8" s="14">
        <f t="shared" si="0"/>
        <v>1</v>
      </c>
      <c r="E8" s="14">
        <f t="shared" si="1"/>
        <v>1</v>
      </c>
      <c r="F8" s="7" t="s">
        <v>212</v>
      </c>
      <c r="G8" s="7" t="s">
        <v>211</v>
      </c>
      <c r="H8" s="7" t="s">
        <v>211</v>
      </c>
    </row>
    <row r="9" spans="1:8" x14ac:dyDescent="0.25">
      <c r="A9" s="7" t="s">
        <v>214</v>
      </c>
      <c r="B9" s="7">
        <v>20</v>
      </c>
      <c r="C9" s="7">
        <v>20</v>
      </c>
      <c r="D9" s="14">
        <f t="shared" si="0"/>
        <v>1</v>
      </c>
      <c r="E9" s="14">
        <f t="shared" si="1"/>
        <v>1</v>
      </c>
      <c r="F9" s="7" t="s">
        <v>211</v>
      </c>
      <c r="G9" s="7" t="s">
        <v>212</v>
      </c>
      <c r="H9" s="7" t="s">
        <v>212</v>
      </c>
    </row>
    <row r="10" spans="1:8" x14ac:dyDescent="0.25">
      <c r="A10" s="7" t="s">
        <v>214</v>
      </c>
      <c r="B10" s="7">
        <v>20</v>
      </c>
      <c r="C10" s="7">
        <v>20</v>
      </c>
      <c r="D10" s="14">
        <f t="shared" si="0"/>
        <v>1</v>
      </c>
      <c r="E10" s="14">
        <f t="shared" si="1"/>
        <v>1</v>
      </c>
      <c r="F10" s="7" t="s">
        <v>212</v>
      </c>
      <c r="G10" s="7" t="s">
        <v>211</v>
      </c>
      <c r="H10" s="7" t="s">
        <v>211</v>
      </c>
    </row>
    <row r="11" spans="1:8" x14ac:dyDescent="0.25">
      <c r="A11" s="7" t="s">
        <v>215</v>
      </c>
      <c r="B11" s="7">
        <v>32</v>
      </c>
      <c r="C11" s="7">
        <v>32</v>
      </c>
      <c r="D11" s="14">
        <f t="shared" si="0"/>
        <v>1</v>
      </c>
      <c r="E11" s="14">
        <f t="shared" si="1"/>
        <v>1</v>
      </c>
      <c r="F11" s="7" t="s">
        <v>211</v>
      </c>
      <c r="G11" s="7" t="s">
        <v>212</v>
      </c>
      <c r="H11" s="7" t="s">
        <v>212</v>
      </c>
    </row>
    <row r="12" spans="1:8" x14ac:dyDescent="0.25">
      <c r="A12" s="7" t="s">
        <v>215</v>
      </c>
      <c r="B12" s="7">
        <v>32</v>
      </c>
      <c r="C12" s="7">
        <v>32</v>
      </c>
      <c r="D12" s="14">
        <f t="shared" si="0"/>
        <v>1</v>
      </c>
      <c r="E12" s="14">
        <f t="shared" si="1"/>
        <v>1</v>
      </c>
      <c r="F12" s="7" t="s">
        <v>212</v>
      </c>
      <c r="G12" s="7" t="s">
        <v>211</v>
      </c>
      <c r="H12" s="7" t="s">
        <v>211</v>
      </c>
    </row>
    <row r="13" spans="1:8" x14ac:dyDescent="0.25">
      <c r="A13" s="7" t="s">
        <v>216</v>
      </c>
      <c r="B13" s="7">
        <v>32</v>
      </c>
      <c r="C13" s="7">
        <v>32</v>
      </c>
      <c r="D13" s="14">
        <f t="shared" si="0"/>
        <v>1</v>
      </c>
      <c r="E13" s="14">
        <f t="shared" si="1"/>
        <v>1</v>
      </c>
      <c r="F13" s="7" t="s">
        <v>211</v>
      </c>
      <c r="G13" s="7" t="s">
        <v>211</v>
      </c>
      <c r="H13" s="7" t="s">
        <v>212</v>
      </c>
    </row>
    <row r="14" spans="1:8" x14ac:dyDescent="0.25">
      <c r="A14" s="7" t="s">
        <v>216</v>
      </c>
      <c r="B14" s="7">
        <v>32</v>
      </c>
      <c r="C14" s="7">
        <v>32</v>
      </c>
      <c r="D14" s="14">
        <f t="shared" si="0"/>
        <v>1</v>
      </c>
      <c r="E14" s="14">
        <f t="shared" si="1"/>
        <v>1</v>
      </c>
      <c r="F14" s="7" t="s">
        <v>212</v>
      </c>
      <c r="G14" s="7" t="s">
        <v>211</v>
      </c>
      <c r="H14" s="7" t="s">
        <v>211</v>
      </c>
    </row>
    <row r="15" spans="1:8" x14ac:dyDescent="0.25">
      <c r="A15" s="7" t="s">
        <v>217</v>
      </c>
      <c r="B15" s="7">
        <v>40</v>
      </c>
      <c r="C15" s="7">
        <v>40</v>
      </c>
      <c r="D15" s="14">
        <f t="shared" si="0"/>
        <v>1</v>
      </c>
      <c r="E15" s="14">
        <f t="shared" si="1"/>
        <v>1</v>
      </c>
      <c r="F15" s="7" t="s">
        <v>211</v>
      </c>
      <c r="G15" s="7" t="s">
        <v>212</v>
      </c>
      <c r="H15" s="7" t="s">
        <v>212</v>
      </c>
    </row>
    <row r="16" spans="1:8" x14ac:dyDescent="0.25">
      <c r="A16" s="7" t="s">
        <v>217</v>
      </c>
      <c r="B16" s="7">
        <v>40</v>
      </c>
      <c r="C16" s="7">
        <v>40</v>
      </c>
      <c r="D16" s="14">
        <f t="shared" si="0"/>
        <v>1</v>
      </c>
      <c r="E16" s="14">
        <f t="shared" si="1"/>
        <v>1</v>
      </c>
      <c r="F16" s="7" t="s">
        <v>212</v>
      </c>
      <c r="G16" s="7" t="s">
        <v>211</v>
      </c>
      <c r="H16" s="7" t="s">
        <v>211</v>
      </c>
    </row>
    <row r="17" spans="1:8" x14ac:dyDescent="0.25">
      <c r="A17" s="7"/>
      <c r="B17" s="7"/>
      <c r="C17" s="7"/>
      <c r="D17" s="14" t="str">
        <f t="shared" si="0"/>
        <v/>
      </c>
      <c r="E17" s="14" t="str">
        <f t="shared" si="1"/>
        <v/>
      </c>
      <c r="F17" s="7"/>
      <c r="G17" s="7"/>
      <c r="H17" s="7"/>
    </row>
    <row r="18" spans="1:8" x14ac:dyDescent="0.25">
      <c r="A18" s="7"/>
      <c r="B18" s="7"/>
      <c r="C18" s="7"/>
      <c r="D18" s="14" t="str">
        <f t="shared" si="0"/>
        <v/>
      </c>
      <c r="E18" s="14" t="str">
        <f t="shared" si="1"/>
        <v/>
      </c>
      <c r="F18" s="7"/>
      <c r="G18" s="7"/>
      <c r="H18" s="7"/>
    </row>
    <row r="19" spans="1:8" x14ac:dyDescent="0.25">
      <c r="A19" s="7"/>
      <c r="B19" s="7"/>
      <c r="C19" s="7"/>
      <c r="D19" s="14" t="str">
        <f t="shared" si="0"/>
        <v/>
      </c>
      <c r="E19" s="14" t="str">
        <f t="shared" si="1"/>
        <v/>
      </c>
      <c r="F19" s="7"/>
      <c r="G19" s="7"/>
      <c r="H19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30" customWidth="1"/>
    <col min="3" max="4" width="10" customWidth="1"/>
    <col min="5" max="5" width="14" customWidth="1"/>
    <col min="6" max="6" width="13" customWidth="1"/>
    <col min="7" max="7" width="15" customWidth="1"/>
    <col min="8" max="8" width="14" customWidth="1"/>
    <col min="9" max="9" width="16" customWidth="1"/>
    <col min="10" max="10" width="11" customWidth="1"/>
  </cols>
  <sheetData>
    <row r="1" spans="1:10" ht="18" customHeight="1" x14ac:dyDescent="0.25">
      <c r="A1" s="8" t="s">
        <v>218</v>
      </c>
    </row>
    <row r="2" spans="1:10" x14ac:dyDescent="0.25">
      <c r="A2" s="9" t="s">
        <v>219</v>
      </c>
    </row>
    <row r="4" spans="1:10" ht="30" customHeight="1" x14ac:dyDescent="0.25">
      <c r="A4" s="5" t="s">
        <v>34</v>
      </c>
      <c r="B4" s="5" t="s">
        <v>109</v>
      </c>
      <c r="C4" s="5" t="s">
        <v>220</v>
      </c>
      <c r="D4" s="5" t="s">
        <v>39</v>
      </c>
      <c r="E4" s="5" t="s">
        <v>221</v>
      </c>
      <c r="F4" s="5" t="s">
        <v>222</v>
      </c>
      <c r="G4" s="5" t="s">
        <v>223</v>
      </c>
      <c r="H4" s="5" t="s">
        <v>224</v>
      </c>
      <c r="I4" s="5" t="s">
        <v>40</v>
      </c>
      <c r="J4" s="5" t="s">
        <v>225</v>
      </c>
    </row>
    <row r="5" spans="1:10" x14ac:dyDescent="0.25">
      <c r="A5" s="7" t="s">
        <v>45</v>
      </c>
      <c r="B5" s="7" t="s">
        <v>226</v>
      </c>
      <c r="C5" s="7">
        <v>59996</v>
      </c>
      <c r="D5" s="7">
        <v>32175</v>
      </c>
      <c r="E5" s="7">
        <v>4284</v>
      </c>
      <c r="F5" s="7">
        <v>4286</v>
      </c>
      <c r="G5" s="7">
        <v>0</v>
      </c>
      <c r="H5" s="7">
        <v>0</v>
      </c>
      <c r="I5" s="7">
        <v>34</v>
      </c>
      <c r="J5" s="15" t="str">
        <f t="shared" ref="J5:J42" si="0">IFERROR(IF(F5=0,"Yes","No"),"")</f>
        <v>No</v>
      </c>
    </row>
    <row r="6" spans="1:10" x14ac:dyDescent="0.25">
      <c r="A6" s="7" t="s">
        <v>45</v>
      </c>
      <c r="B6" s="7" t="s">
        <v>227</v>
      </c>
      <c r="C6" s="7">
        <v>20228</v>
      </c>
      <c r="D6" s="7">
        <v>10116</v>
      </c>
      <c r="E6" s="7">
        <v>0</v>
      </c>
      <c r="F6" s="7">
        <v>0</v>
      </c>
      <c r="G6" s="7">
        <v>0</v>
      </c>
      <c r="H6" s="7">
        <v>0</v>
      </c>
      <c r="I6" s="7">
        <v>1</v>
      </c>
      <c r="J6" s="15" t="str">
        <f t="shared" si="0"/>
        <v>Yes</v>
      </c>
    </row>
    <row r="7" spans="1:10" x14ac:dyDescent="0.25">
      <c r="A7" s="7" t="s">
        <v>52</v>
      </c>
      <c r="B7" s="7" t="s">
        <v>226</v>
      </c>
      <c r="C7" s="7">
        <v>15000</v>
      </c>
      <c r="D7" s="7">
        <v>7856</v>
      </c>
      <c r="E7" s="7">
        <v>704</v>
      </c>
      <c r="F7" s="7">
        <v>704</v>
      </c>
      <c r="G7" s="7">
        <v>0</v>
      </c>
      <c r="H7" s="7">
        <v>0</v>
      </c>
      <c r="I7" s="7">
        <v>4</v>
      </c>
      <c r="J7" s="15" t="str">
        <f t="shared" si="0"/>
        <v>No</v>
      </c>
    </row>
    <row r="8" spans="1:10" x14ac:dyDescent="0.25">
      <c r="A8" s="7" t="s">
        <v>52</v>
      </c>
      <c r="B8" s="7" t="s">
        <v>227</v>
      </c>
      <c r="C8" s="7">
        <v>6312</v>
      </c>
      <c r="D8" s="7">
        <v>3158</v>
      </c>
      <c r="E8" s="7">
        <v>0</v>
      </c>
      <c r="F8" s="7">
        <v>0</v>
      </c>
      <c r="G8" s="7">
        <v>0</v>
      </c>
      <c r="H8" s="7">
        <v>0</v>
      </c>
      <c r="I8" s="7">
        <v>1</v>
      </c>
      <c r="J8" s="15" t="str">
        <f t="shared" si="0"/>
        <v>Yes</v>
      </c>
    </row>
    <row r="9" spans="1:10" x14ac:dyDescent="0.25">
      <c r="A9" s="7" t="s">
        <v>55</v>
      </c>
      <c r="B9" s="7" t="s">
        <v>226</v>
      </c>
      <c r="C9" s="7">
        <v>130504</v>
      </c>
      <c r="D9" s="7">
        <v>69037</v>
      </c>
      <c r="E9" s="7">
        <v>7457</v>
      </c>
      <c r="F9" s="7">
        <v>7466</v>
      </c>
      <c r="G9" s="7">
        <v>0</v>
      </c>
      <c r="H9" s="7">
        <v>0</v>
      </c>
      <c r="I9" s="7">
        <v>67</v>
      </c>
      <c r="J9" s="15" t="str">
        <f t="shared" si="0"/>
        <v>No</v>
      </c>
    </row>
    <row r="10" spans="1:10" x14ac:dyDescent="0.25">
      <c r="A10" s="7" t="s">
        <v>55</v>
      </c>
      <c r="B10" s="7" t="s">
        <v>227</v>
      </c>
      <c r="C10" s="7">
        <v>36140</v>
      </c>
      <c r="D10" s="7">
        <v>18063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15" t="str">
        <f t="shared" si="0"/>
        <v>Yes</v>
      </c>
    </row>
    <row r="11" spans="1:10" x14ac:dyDescent="0.25">
      <c r="A11" s="7" t="s">
        <v>58</v>
      </c>
      <c r="B11" s="7" t="s">
        <v>226</v>
      </c>
      <c r="C11" s="7">
        <v>1473</v>
      </c>
      <c r="D11" s="7">
        <v>1126</v>
      </c>
      <c r="E11" s="7">
        <v>730</v>
      </c>
      <c r="F11" s="7">
        <v>749</v>
      </c>
      <c r="G11" s="7">
        <v>0</v>
      </c>
      <c r="H11" s="7">
        <v>0</v>
      </c>
      <c r="I11" s="7">
        <v>17</v>
      </c>
      <c r="J11" s="15" t="str">
        <f t="shared" si="0"/>
        <v>No</v>
      </c>
    </row>
    <row r="12" spans="1:10" x14ac:dyDescent="0.25">
      <c r="A12" s="7" t="s">
        <v>58</v>
      </c>
      <c r="B12" s="7" t="s">
        <v>227</v>
      </c>
      <c r="C12" s="7">
        <v>1386</v>
      </c>
      <c r="D12" s="7">
        <v>697</v>
      </c>
      <c r="E12" s="7">
        <v>0</v>
      </c>
      <c r="F12" s="7">
        <v>0</v>
      </c>
      <c r="G12" s="7">
        <v>0</v>
      </c>
      <c r="H12" s="7">
        <v>0</v>
      </c>
      <c r="I12" s="7">
        <v>2</v>
      </c>
      <c r="J12" s="15" t="str">
        <f t="shared" si="0"/>
        <v>Yes</v>
      </c>
    </row>
    <row r="13" spans="1:10" x14ac:dyDescent="0.25">
      <c r="A13" s="7" t="s">
        <v>62</v>
      </c>
      <c r="B13" s="7" t="s">
        <v>226</v>
      </c>
      <c r="C13" s="7">
        <v>13790</v>
      </c>
      <c r="D13" s="7">
        <v>9211</v>
      </c>
      <c r="E13" s="7">
        <v>4209</v>
      </c>
      <c r="F13" s="7">
        <v>4222</v>
      </c>
      <c r="G13" s="7">
        <v>0</v>
      </c>
      <c r="H13" s="7">
        <v>0</v>
      </c>
      <c r="I13" s="7">
        <v>289</v>
      </c>
      <c r="J13" s="15" t="str">
        <f t="shared" si="0"/>
        <v>No</v>
      </c>
    </row>
    <row r="14" spans="1:10" x14ac:dyDescent="0.25">
      <c r="A14" s="7" t="s">
        <v>62</v>
      </c>
      <c r="B14" s="7" t="s">
        <v>227</v>
      </c>
      <c r="C14" s="7">
        <v>11708</v>
      </c>
      <c r="D14" s="7">
        <v>5854</v>
      </c>
      <c r="E14" s="7">
        <v>0</v>
      </c>
      <c r="F14" s="7">
        <v>0</v>
      </c>
      <c r="G14" s="7">
        <v>0</v>
      </c>
      <c r="H14" s="7">
        <v>0</v>
      </c>
      <c r="I14" s="7">
        <v>1</v>
      </c>
      <c r="J14" s="15" t="str">
        <f t="shared" si="0"/>
        <v>Yes</v>
      </c>
    </row>
    <row r="15" spans="1:10" x14ac:dyDescent="0.25">
      <c r="A15" s="7" t="s">
        <v>64</v>
      </c>
      <c r="B15" s="7" t="s">
        <v>226</v>
      </c>
      <c r="C15" s="7">
        <v>2752</v>
      </c>
      <c r="D15" s="7">
        <v>1664</v>
      </c>
      <c r="E15" s="7">
        <v>554</v>
      </c>
      <c r="F15" s="7">
        <v>562</v>
      </c>
      <c r="G15" s="7">
        <v>0</v>
      </c>
      <c r="H15" s="7">
        <v>0</v>
      </c>
      <c r="I15" s="7">
        <v>9</v>
      </c>
      <c r="J15" s="15" t="str">
        <f t="shared" si="0"/>
        <v>No</v>
      </c>
    </row>
    <row r="16" spans="1:10" x14ac:dyDescent="0.25">
      <c r="A16" s="7" t="s">
        <v>64</v>
      </c>
      <c r="B16" s="7" t="s">
        <v>227</v>
      </c>
      <c r="C16" s="7">
        <v>2036</v>
      </c>
      <c r="D16" s="7">
        <v>1016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15" t="str">
        <f t="shared" si="0"/>
        <v>Yes</v>
      </c>
    </row>
    <row r="17" spans="1:10" x14ac:dyDescent="0.25">
      <c r="A17" s="7" t="s">
        <v>66</v>
      </c>
      <c r="B17" s="7" t="s">
        <v>226</v>
      </c>
      <c r="C17" s="7">
        <v>3410</v>
      </c>
      <c r="D17" s="7">
        <v>2320</v>
      </c>
      <c r="E17" s="7">
        <v>847</v>
      </c>
      <c r="F17" s="7">
        <v>1108</v>
      </c>
      <c r="G17" s="7">
        <v>0</v>
      </c>
      <c r="H17" s="7">
        <v>0</v>
      </c>
      <c r="I17" s="7">
        <v>62</v>
      </c>
      <c r="J17" s="15" t="str">
        <f t="shared" si="0"/>
        <v>No</v>
      </c>
    </row>
    <row r="18" spans="1:10" x14ac:dyDescent="0.25">
      <c r="A18" s="7" t="s">
        <v>66</v>
      </c>
      <c r="B18" s="7" t="s">
        <v>227</v>
      </c>
      <c r="C18" s="7">
        <v>3192</v>
      </c>
      <c r="D18" s="7">
        <v>1642</v>
      </c>
      <c r="E18" s="7">
        <v>0</v>
      </c>
      <c r="F18" s="7">
        <v>0</v>
      </c>
      <c r="G18" s="7">
        <v>0</v>
      </c>
      <c r="H18" s="7">
        <v>0</v>
      </c>
      <c r="I18" s="7">
        <v>28</v>
      </c>
      <c r="J18" s="15" t="str">
        <f t="shared" si="0"/>
        <v>Yes</v>
      </c>
    </row>
    <row r="19" spans="1:10" x14ac:dyDescent="0.25">
      <c r="A19" s="7" t="s">
        <v>69</v>
      </c>
      <c r="B19" s="7" t="s">
        <v>226</v>
      </c>
      <c r="C19" s="7">
        <v>2926</v>
      </c>
      <c r="D19" s="7">
        <v>2267</v>
      </c>
      <c r="E19" s="7">
        <v>1134</v>
      </c>
      <c r="F19" s="7">
        <v>1468</v>
      </c>
      <c r="G19" s="7">
        <v>0</v>
      </c>
      <c r="H19" s="7">
        <v>0</v>
      </c>
      <c r="I19" s="7">
        <v>79</v>
      </c>
      <c r="J19" s="15" t="str">
        <f t="shared" si="0"/>
        <v>No</v>
      </c>
    </row>
    <row r="20" spans="1:10" x14ac:dyDescent="0.25">
      <c r="A20" s="7" t="s">
        <v>69</v>
      </c>
      <c r="B20" s="7" t="s">
        <v>227</v>
      </c>
      <c r="C20" s="7">
        <v>2642</v>
      </c>
      <c r="D20" s="7">
        <v>1365</v>
      </c>
      <c r="E20" s="7">
        <v>0</v>
      </c>
      <c r="F20" s="7">
        <v>0</v>
      </c>
      <c r="G20" s="7">
        <v>0</v>
      </c>
      <c r="H20" s="7">
        <v>2</v>
      </c>
      <c r="I20" s="7">
        <v>22</v>
      </c>
      <c r="J20" s="15" t="str">
        <f t="shared" si="0"/>
        <v>Yes</v>
      </c>
    </row>
    <row r="21" spans="1:10" x14ac:dyDescent="0.25">
      <c r="A21" s="7" t="s">
        <v>71</v>
      </c>
      <c r="B21" s="7" t="s">
        <v>226</v>
      </c>
      <c r="C21" s="7">
        <v>211874</v>
      </c>
      <c r="D21" s="7">
        <v>122173</v>
      </c>
      <c r="E21" s="7">
        <v>31717</v>
      </c>
      <c r="F21" s="7">
        <v>32448</v>
      </c>
      <c r="G21" s="7">
        <v>0</v>
      </c>
      <c r="H21" s="7">
        <v>0</v>
      </c>
      <c r="I21" s="7">
        <v>1630</v>
      </c>
      <c r="J21" s="15" t="str">
        <f t="shared" si="0"/>
        <v>No</v>
      </c>
    </row>
    <row r="22" spans="1:10" x14ac:dyDescent="0.25">
      <c r="A22" s="7" t="s">
        <v>71</v>
      </c>
      <c r="B22" s="7" t="s">
        <v>227</v>
      </c>
      <c r="C22" s="7">
        <v>52160</v>
      </c>
      <c r="D22" s="7">
        <v>26050</v>
      </c>
      <c r="E22" s="7">
        <v>0</v>
      </c>
      <c r="F22" s="7">
        <v>0</v>
      </c>
      <c r="G22" s="7">
        <v>0</v>
      </c>
      <c r="H22" s="7">
        <v>0</v>
      </c>
      <c r="I22" s="7">
        <v>8</v>
      </c>
      <c r="J22" s="15" t="str">
        <f t="shared" si="0"/>
        <v>Yes</v>
      </c>
    </row>
    <row r="23" spans="1:10" x14ac:dyDescent="0.25">
      <c r="A23" s="7" t="s">
        <v>75</v>
      </c>
      <c r="B23" s="7" t="s">
        <v>226</v>
      </c>
      <c r="C23" s="7">
        <v>446670</v>
      </c>
      <c r="D23" s="7">
        <v>279629</v>
      </c>
      <c r="E23" s="7">
        <v>110737</v>
      </c>
      <c r="F23" s="7">
        <v>112526</v>
      </c>
      <c r="G23" s="7">
        <v>0</v>
      </c>
      <c r="H23" s="7">
        <v>0</v>
      </c>
      <c r="I23" s="7">
        <v>4790</v>
      </c>
      <c r="J23" s="15" t="str">
        <f t="shared" si="0"/>
        <v>No</v>
      </c>
    </row>
    <row r="24" spans="1:10" x14ac:dyDescent="0.25">
      <c r="A24" s="7" t="s">
        <v>75</v>
      </c>
      <c r="B24" s="7" t="s">
        <v>227</v>
      </c>
      <c r="C24" s="7">
        <v>138308</v>
      </c>
      <c r="D24" s="7">
        <v>69147</v>
      </c>
      <c r="E24" s="7">
        <v>0</v>
      </c>
      <c r="F24" s="7">
        <v>0</v>
      </c>
      <c r="G24" s="7">
        <v>0</v>
      </c>
      <c r="H24" s="7">
        <v>0</v>
      </c>
      <c r="I24" s="7">
        <v>5</v>
      </c>
      <c r="J24" s="15" t="str">
        <f t="shared" si="0"/>
        <v>Yes</v>
      </c>
    </row>
    <row r="25" spans="1:10" x14ac:dyDescent="0.25">
      <c r="A25" s="7" t="s">
        <v>78</v>
      </c>
      <c r="B25" s="7" t="s">
        <v>226</v>
      </c>
      <c r="C25" s="7">
        <v>108958</v>
      </c>
      <c r="D25" s="7">
        <v>57711</v>
      </c>
      <c r="E25" s="7">
        <v>6015</v>
      </c>
      <c r="F25" s="7">
        <v>6344</v>
      </c>
      <c r="G25" s="7">
        <v>0</v>
      </c>
      <c r="H25" s="7">
        <v>0</v>
      </c>
      <c r="I25" s="7">
        <v>161</v>
      </c>
      <c r="J25" s="15" t="str">
        <f t="shared" si="0"/>
        <v>No</v>
      </c>
    </row>
    <row r="26" spans="1:10" x14ac:dyDescent="0.25">
      <c r="A26" s="7" t="s">
        <v>78</v>
      </c>
      <c r="B26" s="7" t="s">
        <v>227</v>
      </c>
      <c r="C26" s="7">
        <v>21364</v>
      </c>
      <c r="D26" s="7">
        <v>10684</v>
      </c>
      <c r="E26" s="7">
        <v>0</v>
      </c>
      <c r="F26" s="7">
        <v>0</v>
      </c>
      <c r="G26" s="7">
        <v>0</v>
      </c>
      <c r="H26" s="7">
        <v>0</v>
      </c>
      <c r="I26" s="7">
        <v>8</v>
      </c>
      <c r="J26" s="15" t="str">
        <f t="shared" si="0"/>
        <v>Yes</v>
      </c>
    </row>
    <row r="27" spans="1:10" x14ac:dyDescent="0.25">
      <c r="A27" s="7" t="s">
        <v>80</v>
      </c>
      <c r="B27" s="7" t="s">
        <v>226</v>
      </c>
      <c r="C27" s="7">
        <v>405680</v>
      </c>
      <c r="D27" s="7">
        <v>280931</v>
      </c>
      <c r="E27" s="7">
        <v>144027</v>
      </c>
      <c r="F27" s="7">
        <v>145108</v>
      </c>
      <c r="G27" s="7">
        <v>0</v>
      </c>
      <c r="H27" s="7">
        <v>0</v>
      </c>
      <c r="I27" s="7">
        <v>7804</v>
      </c>
      <c r="J27" s="15" t="str">
        <f t="shared" si="0"/>
        <v>No</v>
      </c>
    </row>
    <row r="28" spans="1:10" x14ac:dyDescent="0.25">
      <c r="A28" s="7" t="s">
        <v>80</v>
      </c>
      <c r="B28" s="7" t="s">
        <v>227</v>
      </c>
      <c r="C28" s="7">
        <v>251322</v>
      </c>
      <c r="D28" s="7">
        <v>125656</v>
      </c>
      <c r="E28" s="7">
        <v>0</v>
      </c>
      <c r="F28" s="7">
        <v>0</v>
      </c>
      <c r="G28" s="7">
        <v>0</v>
      </c>
      <c r="H28" s="7">
        <v>0</v>
      </c>
      <c r="I28" s="7">
        <v>1</v>
      </c>
      <c r="J28" s="15" t="str">
        <f t="shared" si="0"/>
        <v>Yes</v>
      </c>
    </row>
    <row r="29" spans="1:10" x14ac:dyDescent="0.25">
      <c r="A29" s="7" t="s">
        <v>83</v>
      </c>
      <c r="B29" s="7" t="s">
        <v>226</v>
      </c>
      <c r="C29" s="7">
        <v>5912</v>
      </c>
      <c r="D29" s="7">
        <v>17736</v>
      </c>
      <c r="E29" s="7">
        <v>17736</v>
      </c>
      <c r="F29" s="7">
        <v>17736</v>
      </c>
      <c r="G29" s="7">
        <v>0</v>
      </c>
      <c r="H29" s="7">
        <v>0</v>
      </c>
      <c r="I29" s="7">
        <v>5912</v>
      </c>
      <c r="J29" s="15" t="str">
        <f t="shared" si="0"/>
        <v>No</v>
      </c>
    </row>
    <row r="30" spans="1:10" x14ac:dyDescent="0.25">
      <c r="A30" s="7" t="s">
        <v>83</v>
      </c>
      <c r="B30" s="7" t="s">
        <v>227</v>
      </c>
      <c r="C30" s="7">
        <v>3270</v>
      </c>
      <c r="D30" s="7">
        <v>1637</v>
      </c>
      <c r="E30" s="7">
        <v>0</v>
      </c>
      <c r="F30" s="7">
        <v>0</v>
      </c>
      <c r="G30" s="7">
        <v>0</v>
      </c>
      <c r="H30" s="7">
        <v>0</v>
      </c>
      <c r="I30" s="7">
        <v>1</v>
      </c>
      <c r="J30" s="15" t="str">
        <f t="shared" si="0"/>
        <v>Yes</v>
      </c>
    </row>
    <row r="31" spans="1:10" x14ac:dyDescent="0.25">
      <c r="A31" s="7" t="s">
        <v>88</v>
      </c>
      <c r="B31" s="7" t="s">
        <v>226</v>
      </c>
      <c r="C31" s="7">
        <v>16694</v>
      </c>
      <c r="D31" s="7">
        <v>50082</v>
      </c>
      <c r="E31" s="7">
        <v>50082</v>
      </c>
      <c r="F31" s="7">
        <v>50082</v>
      </c>
      <c r="G31" s="7">
        <v>0</v>
      </c>
      <c r="H31" s="7">
        <v>0</v>
      </c>
      <c r="I31" s="7">
        <v>16694</v>
      </c>
      <c r="J31" s="15" t="str">
        <f t="shared" si="0"/>
        <v>No</v>
      </c>
    </row>
    <row r="32" spans="1:10" x14ac:dyDescent="0.25">
      <c r="A32" s="7" t="s">
        <v>88</v>
      </c>
      <c r="B32" s="7" t="s">
        <v>227</v>
      </c>
      <c r="C32" s="7">
        <v>13858</v>
      </c>
      <c r="D32" s="7">
        <v>6929</v>
      </c>
      <c r="E32" s="7">
        <v>0</v>
      </c>
      <c r="F32" s="7">
        <v>0</v>
      </c>
      <c r="G32" s="7">
        <v>0</v>
      </c>
      <c r="H32" s="7">
        <v>0</v>
      </c>
      <c r="I32" s="7">
        <v>7</v>
      </c>
      <c r="J32" s="15" t="str">
        <f t="shared" si="0"/>
        <v>Yes</v>
      </c>
    </row>
    <row r="33" spans="1:10" x14ac:dyDescent="0.25">
      <c r="A33" s="7" t="s">
        <v>90</v>
      </c>
      <c r="B33" s="7" t="s">
        <v>226</v>
      </c>
      <c r="C33" s="7">
        <v>63998</v>
      </c>
      <c r="D33" s="7">
        <v>34257</v>
      </c>
      <c r="E33" s="7">
        <v>3885</v>
      </c>
      <c r="F33" s="7">
        <v>4554</v>
      </c>
      <c r="G33" s="7">
        <v>0</v>
      </c>
      <c r="H33" s="7">
        <v>0</v>
      </c>
      <c r="I33" s="7">
        <v>266</v>
      </c>
      <c r="J33" s="15" t="str">
        <f t="shared" si="0"/>
        <v>No</v>
      </c>
    </row>
    <row r="34" spans="1:10" x14ac:dyDescent="0.25">
      <c r="A34" s="7" t="s">
        <v>90</v>
      </c>
      <c r="B34" s="7" t="s">
        <v>227</v>
      </c>
      <c r="C34" s="7">
        <v>23366</v>
      </c>
      <c r="D34" s="7">
        <v>11727</v>
      </c>
      <c r="E34" s="7">
        <v>0</v>
      </c>
      <c r="F34" s="7">
        <v>0</v>
      </c>
      <c r="G34" s="7">
        <v>0</v>
      </c>
      <c r="H34" s="7">
        <v>0</v>
      </c>
      <c r="I34" s="7">
        <v>22</v>
      </c>
      <c r="J34" s="15" t="str">
        <f t="shared" si="0"/>
        <v>Yes</v>
      </c>
    </row>
    <row r="35" spans="1:10" x14ac:dyDescent="0.25">
      <c r="A35" s="7" t="s">
        <v>93</v>
      </c>
      <c r="B35" s="7" t="s">
        <v>226</v>
      </c>
      <c r="C35" s="7">
        <v>69451</v>
      </c>
      <c r="D35" s="7">
        <v>35947</v>
      </c>
      <c r="E35" s="7">
        <v>0</v>
      </c>
      <c r="F35" s="7">
        <v>223</v>
      </c>
      <c r="G35" s="7">
        <v>0</v>
      </c>
      <c r="H35" s="7">
        <v>0</v>
      </c>
      <c r="I35" s="7">
        <v>1</v>
      </c>
      <c r="J35" s="15" t="str">
        <f t="shared" si="0"/>
        <v>No</v>
      </c>
    </row>
    <row r="36" spans="1:10" x14ac:dyDescent="0.25">
      <c r="A36" s="7" t="s">
        <v>93</v>
      </c>
      <c r="B36" s="7" t="s">
        <v>227</v>
      </c>
      <c r="C36" s="7">
        <v>8112</v>
      </c>
      <c r="D36" s="7">
        <v>4059</v>
      </c>
      <c r="E36" s="7">
        <v>0</v>
      </c>
      <c r="F36" s="7">
        <v>0</v>
      </c>
      <c r="G36" s="7">
        <v>0</v>
      </c>
      <c r="H36" s="7">
        <v>0</v>
      </c>
      <c r="I36" s="7">
        <v>1</v>
      </c>
      <c r="J36" s="15" t="str">
        <f t="shared" si="0"/>
        <v>Yes</v>
      </c>
    </row>
    <row r="37" spans="1:10" x14ac:dyDescent="0.25">
      <c r="A37" s="7" t="s">
        <v>97</v>
      </c>
      <c r="B37" s="7" t="s">
        <v>226</v>
      </c>
      <c r="C37" s="7">
        <v>345944</v>
      </c>
      <c r="D37" s="7">
        <v>172974</v>
      </c>
      <c r="E37" s="7">
        <v>0</v>
      </c>
      <c r="F37" s="7">
        <v>0</v>
      </c>
      <c r="G37" s="7">
        <v>0</v>
      </c>
      <c r="H37" s="7">
        <v>0</v>
      </c>
      <c r="I37" s="7">
        <v>1</v>
      </c>
      <c r="J37" s="15" t="str">
        <f t="shared" si="0"/>
        <v>Yes</v>
      </c>
    </row>
    <row r="38" spans="1:10" x14ac:dyDescent="0.25">
      <c r="A38" s="7" t="s">
        <v>97</v>
      </c>
      <c r="B38" s="7" t="s">
        <v>227</v>
      </c>
      <c r="C38" s="7">
        <v>48760</v>
      </c>
      <c r="D38" s="7">
        <v>24389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15" t="str">
        <f t="shared" si="0"/>
        <v>Yes</v>
      </c>
    </row>
    <row r="39" spans="1:10" x14ac:dyDescent="0.25">
      <c r="A39" s="7" t="s">
        <v>99</v>
      </c>
      <c r="B39" s="7" t="s">
        <v>226</v>
      </c>
      <c r="C39" s="7">
        <v>1869988</v>
      </c>
      <c r="D39" s="7">
        <v>5609964</v>
      </c>
      <c r="E39" s="7">
        <v>5609964</v>
      </c>
      <c r="F39" s="7">
        <v>5609964</v>
      </c>
      <c r="G39" s="7">
        <v>0</v>
      </c>
      <c r="H39" s="7">
        <v>0</v>
      </c>
      <c r="I39" s="7">
        <v>1869988</v>
      </c>
      <c r="J39" s="15" t="str">
        <f t="shared" si="0"/>
        <v>No</v>
      </c>
    </row>
    <row r="40" spans="1:10" x14ac:dyDescent="0.25">
      <c r="A40" s="7" t="s">
        <v>99</v>
      </c>
      <c r="B40" s="7" t="s">
        <v>227</v>
      </c>
      <c r="C40" s="7">
        <v>186994</v>
      </c>
      <c r="D40" s="7">
        <v>93487</v>
      </c>
      <c r="E40" s="7">
        <v>0</v>
      </c>
      <c r="F40" s="7">
        <v>0</v>
      </c>
      <c r="G40" s="7">
        <v>0</v>
      </c>
      <c r="H40" s="7">
        <v>0</v>
      </c>
      <c r="I40" s="7">
        <v>2</v>
      </c>
      <c r="J40" s="15" t="str">
        <f t="shared" si="0"/>
        <v>Yes</v>
      </c>
    </row>
    <row r="41" spans="1:10" x14ac:dyDescent="0.25">
      <c r="A41" s="7" t="s">
        <v>104</v>
      </c>
      <c r="B41" s="7" t="s">
        <v>226</v>
      </c>
      <c r="C41" s="7">
        <v>31400</v>
      </c>
      <c r="D41" s="7">
        <v>94200</v>
      </c>
      <c r="E41" s="7">
        <v>94200</v>
      </c>
      <c r="F41" s="7">
        <v>94200</v>
      </c>
      <c r="G41" s="7">
        <v>0</v>
      </c>
      <c r="H41" s="7">
        <v>0</v>
      </c>
      <c r="I41" s="7">
        <v>31400</v>
      </c>
      <c r="J41" s="15" t="str">
        <f t="shared" si="0"/>
        <v>No</v>
      </c>
    </row>
    <row r="42" spans="1:10" x14ac:dyDescent="0.25">
      <c r="A42" s="7" t="s">
        <v>104</v>
      </c>
      <c r="B42" s="7" t="s">
        <v>227</v>
      </c>
      <c r="C42" s="7">
        <v>21252</v>
      </c>
      <c r="D42" s="7">
        <v>10588</v>
      </c>
      <c r="E42" s="7">
        <v>0</v>
      </c>
      <c r="F42" s="7">
        <v>0</v>
      </c>
      <c r="G42" s="7">
        <v>0</v>
      </c>
      <c r="H42" s="7">
        <v>0</v>
      </c>
      <c r="I42" s="7">
        <v>1</v>
      </c>
      <c r="J42" s="15" t="str">
        <f t="shared" si="0"/>
        <v>Yes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11" customWidth="1"/>
    <col min="3" max="3" width="26" customWidth="1"/>
    <col min="4" max="4" width="11" customWidth="1"/>
    <col min="5" max="5" width="15" customWidth="1"/>
    <col min="6" max="6" width="10" customWidth="1"/>
    <col min="7" max="8" width="11" customWidth="1"/>
  </cols>
  <sheetData>
    <row r="1" spans="1:8" ht="18" customHeight="1" x14ac:dyDescent="0.25">
      <c r="A1" s="8" t="s">
        <v>228</v>
      </c>
    </row>
    <row r="2" spans="1:8" ht="45" customHeight="1" x14ac:dyDescent="0.25">
      <c r="A2" s="9" t="s">
        <v>229</v>
      </c>
    </row>
    <row r="4" spans="1:8" ht="30" customHeight="1" x14ac:dyDescent="0.25">
      <c r="A4" s="5" t="s">
        <v>34</v>
      </c>
      <c r="B4" s="5" t="s">
        <v>110</v>
      </c>
      <c r="C4" s="5" t="s">
        <v>109</v>
      </c>
      <c r="D4" s="5" t="s">
        <v>230</v>
      </c>
      <c r="E4" s="5" t="s">
        <v>231</v>
      </c>
      <c r="F4" s="5" t="s">
        <v>232</v>
      </c>
      <c r="G4" s="5" t="s">
        <v>233</v>
      </c>
      <c r="H4" s="5" t="s">
        <v>234</v>
      </c>
    </row>
    <row r="5" spans="1:8" x14ac:dyDescent="0.25">
      <c r="A5" s="7" t="s">
        <v>45</v>
      </c>
      <c r="B5" s="7">
        <v>59996</v>
      </c>
      <c r="C5" s="7" t="s">
        <v>235</v>
      </c>
      <c r="D5" s="7">
        <v>0.45650000000000002</v>
      </c>
      <c r="E5" s="7">
        <v>0.19420000000000001</v>
      </c>
      <c r="F5" s="7"/>
      <c r="G5" s="7"/>
      <c r="H5" s="15">
        <f t="shared" ref="H5:H29" si="0">IFERROR(D5-SUM(E5:G5),"")</f>
        <v>0.26229999999999998</v>
      </c>
    </row>
    <row r="6" spans="1:8" x14ac:dyDescent="0.25">
      <c r="A6" s="7" t="s">
        <v>52</v>
      </c>
      <c r="B6" s="7">
        <v>15000</v>
      </c>
      <c r="C6" s="7" t="s">
        <v>235</v>
      </c>
      <c r="D6" s="7">
        <v>0.1956</v>
      </c>
      <c r="E6" s="7">
        <v>4.7E-2</v>
      </c>
      <c r="F6" s="7"/>
      <c r="G6" s="7"/>
      <c r="H6" s="15">
        <f t="shared" si="0"/>
        <v>0.14860000000000001</v>
      </c>
    </row>
    <row r="7" spans="1:8" x14ac:dyDescent="0.25">
      <c r="A7" s="7" t="s">
        <v>55</v>
      </c>
      <c r="B7" s="7">
        <v>130504</v>
      </c>
      <c r="C7" s="7" t="s">
        <v>235</v>
      </c>
      <c r="D7" s="7">
        <v>0.92090000000000005</v>
      </c>
      <c r="E7" s="7">
        <v>0.38979999999999998</v>
      </c>
      <c r="F7" s="7"/>
      <c r="G7" s="7"/>
      <c r="H7" s="15">
        <f t="shared" si="0"/>
        <v>0.53110000000000013</v>
      </c>
    </row>
    <row r="8" spans="1:8" x14ac:dyDescent="0.25">
      <c r="A8" s="7" t="s">
        <v>58</v>
      </c>
      <c r="B8" s="7">
        <v>1473</v>
      </c>
      <c r="C8" s="7" t="s">
        <v>235</v>
      </c>
      <c r="D8" s="7">
        <v>1.9400000000000001E-2</v>
      </c>
      <c r="E8" s="7">
        <v>9.9000000000000008E-3</v>
      </c>
      <c r="F8" s="7"/>
      <c r="G8" s="7"/>
      <c r="H8" s="15">
        <f t="shared" si="0"/>
        <v>9.4999999999999998E-3</v>
      </c>
    </row>
    <row r="9" spans="1:8" x14ac:dyDescent="0.25">
      <c r="A9" s="7" t="s">
        <v>62</v>
      </c>
      <c r="B9" s="7">
        <v>13790</v>
      </c>
      <c r="C9" s="7" t="s">
        <v>235</v>
      </c>
      <c r="D9" s="7">
        <v>0.2646</v>
      </c>
      <c r="E9" s="7">
        <v>3.7400000000000003E-2</v>
      </c>
      <c r="F9" s="7"/>
      <c r="G9" s="7"/>
      <c r="H9" s="15">
        <f t="shared" si="0"/>
        <v>0.22720000000000001</v>
      </c>
    </row>
    <row r="10" spans="1:8" x14ac:dyDescent="0.25">
      <c r="A10" s="7" t="s">
        <v>64</v>
      </c>
      <c r="B10" s="7">
        <v>2752</v>
      </c>
      <c r="C10" s="7" t="s">
        <v>235</v>
      </c>
      <c r="D10" s="7">
        <v>5.3800000000000001E-2</v>
      </c>
      <c r="E10" s="7">
        <v>1.43E-2</v>
      </c>
      <c r="F10" s="7"/>
      <c r="G10" s="7"/>
      <c r="H10" s="15">
        <f t="shared" si="0"/>
        <v>3.95E-2</v>
      </c>
    </row>
    <row r="11" spans="1:8" x14ac:dyDescent="0.25">
      <c r="A11" s="7" t="s">
        <v>66</v>
      </c>
      <c r="B11" s="7">
        <v>3410</v>
      </c>
      <c r="C11" s="7" t="s">
        <v>235</v>
      </c>
      <c r="D11" s="7">
        <v>4.1000000000000002E-2</v>
      </c>
      <c r="E11" s="7">
        <v>1.9800000000000002E-2</v>
      </c>
      <c r="F11" s="7"/>
      <c r="G11" s="7"/>
      <c r="H11" s="15">
        <f t="shared" si="0"/>
        <v>2.12E-2</v>
      </c>
    </row>
    <row r="12" spans="1:8" x14ac:dyDescent="0.25">
      <c r="A12" s="7" t="s">
        <v>69</v>
      </c>
      <c r="B12" s="7">
        <v>2926</v>
      </c>
      <c r="C12" s="7" t="s">
        <v>235</v>
      </c>
      <c r="D12" s="7">
        <v>9.3600000000000003E-2</v>
      </c>
      <c r="E12" s="7">
        <v>1.6400000000000001E-2</v>
      </c>
      <c r="F12" s="7"/>
      <c r="G12" s="7"/>
      <c r="H12" s="15">
        <f t="shared" si="0"/>
        <v>7.7200000000000005E-2</v>
      </c>
    </row>
    <row r="13" spans="1:8" x14ac:dyDescent="0.25">
      <c r="A13" s="7" t="s">
        <v>71</v>
      </c>
      <c r="B13" s="7">
        <v>211874</v>
      </c>
      <c r="C13" s="7" t="s">
        <v>235</v>
      </c>
      <c r="D13" s="7">
        <v>1.5322</v>
      </c>
      <c r="E13" s="7">
        <v>0.72789999999999999</v>
      </c>
      <c r="F13" s="7"/>
      <c r="G13" s="7"/>
      <c r="H13" s="15">
        <f t="shared" si="0"/>
        <v>0.80430000000000001</v>
      </c>
    </row>
    <row r="14" spans="1:8" x14ac:dyDescent="0.25">
      <c r="A14" s="7" t="s">
        <v>75</v>
      </c>
      <c r="B14" s="7">
        <v>446670</v>
      </c>
      <c r="C14" s="7" t="s">
        <v>235</v>
      </c>
      <c r="D14" s="7">
        <v>3.7456</v>
      </c>
      <c r="E14" s="7">
        <v>1.7293000000000001</v>
      </c>
      <c r="F14" s="7"/>
      <c r="G14" s="7"/>
      <c r="H14" s="15">
        <f t="shared" si="0"/>
        <v>2.0163000000000002</v>
      </c>
    </row>
    <row r="15" spans="1:8" x14ac:dyDescent="0.25">
      <c r="A15" s="7" t="s">
        <v>78</v>
      </c>
      <c r="B15" s="7">
        <v>108958</v>
      </c>
      <c r="C15" s="7" t="s">
        <v>235</v>
      </c>
      <c r="D15" s="7">
        <v>0.91800000000000004</v>
      </c>
      <c r="E15" s="7">
        <v>0.36420000000000002</v>
      </c>
      <c r="F15" s="7"/>
      <c r="G15" s="7"/>
      <c r="H15" s="15">
        <f t="shared" si="0"/>
        <v>0.55380000000000007</v>
      </c>
    </row>
    <row r="16" spans="1:8" x14ac:dyDescent="0.25">
      <c r="A16" s="7" t="s">
        <v>80</v>
      </c>
      <c r="B16" s="7">
        <v>405680</v>
      </c>
      <c r="C16" s="7" t="s">
        <v>235</v>
      </c>
      <c r="D16" s="7">
        <v>4.5187999999999997</v>
      </c>
      <c r="E16" s="7">
        <v>1.1801999999999999</v>
      </c>
      <c r="F16" s="7"/>
      <c r="G16" s="7"/>
      <c r="H16" s="15">
        <f t="shared" si="0"/>
        <v>3.3385999999999996</v>
      </c>
    </row>
    <row r="17" spans="1:8" x14ac:dyDescent="0.25">
      <c r="A17" s="7" t="s">
        <v>83</v>
      </c>
      <c r="B17" s="7">
        <v>5912</v>
      </c>
      <c r="C17" s="7" t="s">
        <v>235</v>
      </c>
      <c r="D17" s="7">
        <v>0.12820000000000001</v>
      </c>
      <c r="E17" s="7">
        <v>2.9700000000000001E-2</v>
      </c>
      <c r="F17" s="7"/>
      <c r="G17" s="7"/>
      <c r="H17" s="15">
        <f t="shared" si="0"/>
        <v>9.8500000000000004E-2</v>
      </c>
    </row>
    <row r="18" spans="1:8" x14ac:dyDescent="0.25">
      <c r="A18" s="7" t="s">
        <v>88</v>
      </c>
      <c r="B18" s="7">
        <v>16694</v>
      </c>
      <c r="C18" s="7" t="s">
        <v>235</v>
      </c>
      <c r="D18" s="7">
        <v>0.18909999999999999</v>
      </c>
      <c r="E18" s="7">
        <v>5.8500000000000003E-2</v>
      </c>
      <c r="F18" s="7"/>
      <c r="G18" s="7"/>
      <c r="H18" s="15">
        <f t="shared" si="0"/>
        <v>0.13059999999999999</v>
      </c>
    </row>
    <row r="19" spans="1:8" x14ac:dyDescent="0.25">
      <c r="A19" s="7" t="s">
        <v>90</v>
      </c>
      <c r="B19" s="7">
        <v>63998</v>
      </c>
      <c r="C19" s="7" t="s">
        <v>235</v>
      </c>
      <c r="D19" s="7">
        <v>0.46</v>
      </c>
      <c r="E19" s="7">
        <v>0.19950000000000001</v>
      </c>
      <c r="F19" s="7"/>
      <c r="G19" s="7"/>
      <c r="H19" s="15">
        <f t="shared" si="0"/>
        <v>0.26050000000000001</v>
      </c>
    </row>
    <row r="20" spans="1:8" x14ac:dyDescent="0.25">
      <c r="A20" s="7" t="s">
        <v>93</v>
      </c>
      <c r="B20" s="7">
        <v>69451</v>
      </c>
      <c r="C20" s="7" t="s">
        <v>235</v>
      </c>
      <c r="D20" s="7">
        <v>1.1100000000000001</v>
      </c>
      <c r="E20" s="7">
        <v>0.19270000000000001</v>
      </c>
      <c r="F20" s="7"/>
      <c r="G20" s="7"/>
      <c r="H20" s="15">
        <f t="shared" si="0"/>
        <v>0.91730000000000012</v>
      </c>
    </row>
    <row r="21" spans="1:8" x14ac:dyDescent="0.25">
      <c r="A21" s="7" t="s">
        <v>97</v>
      </c>
      <c r="B21" s="7">
        <v>345944</v>
      </c>
      <c r="C21" s="7" t="s">
        <v>235</v>
      </c>
      <c r="D21" s="7">
        <v>2.7427999999999999</v>
      </c>
      <c r="E21" s="7">
        <v>1.5616000000000001</v>
      </c>
      <c r="F21" s="7"/>
      <c r="G21" s="7"/>
      <c r="H21" s="15">
        <f t="shared" si="0"/>
        <v>1.1811999999999998</v>
      </c>
    </row>
    <row r="22" spans="1:8" x14ac:dyDescent="0.25">
      <c r="A22" s="7" t="s">
        <v>99</v>
      </c>
      <c r="B22" s="7">
        <v>1869988</v>
      </c>
      <c r="C22" s="7" t="s">
        <v>235</v>
      </c>
      <c r="D22" s="7">
        <v>33.584800000000001</v>
      </c>
      <c r="E22" s="7">
        <v>12.879300000000001</v>
      </c>
      <c r="F22" s="7"/>
      <c r="G22" s="7"/>
      <c r="H22" s="15">
        <f t="shared" si="0"/>
        <v>20.705500000000001</v>
      </c>
    </row>
    <row r="23" spans="1:8" x14ac:dyDescent="0.25">
      <c r="A23" s="7" t="s">
        <v>104</v>
      </c>
      <c r="B23" s="7">
        <v>31400</v>
      </c>
      <c r="C23" s="7" t="s">
        <v>235</v>
      </c>
      <c r="D23" s="7">
        <v>1.0643</v>
      </c>
      <c r="E23" s="7">
        <v>0.1172</v>
      </c>
      <c r="F23" s="7"/>
      <c r="G23" s="7"/>
      <c r="H23" s="15">
        <f t="shared" si="0"/>
        <v>0.94710000000000005</v>
      </c>
    </row>
    <row r="24" spans="1:8" x14ac:dyDescent="0.25">
      <c r="A24" s="7"/>
      <c r="B24" s="7"/>
      <c r="C24" s="7"/>
      <c r="D24" s="7"/>
      <c r="E24" s="7"/>
      <c r="F24" s="7"/>
      <c r="G24" s="7"/>
      <c r="H24" s="15">
        <f t="shared" si="0"/>
        <v>0</v>
      </c>
    </row>
    <row r="25" spans="1:8" x14ac:dyDescent="0.25">
      <c r="A25" s="7"/>
      <c r="B25" s="7"/>
      <c r="C25" s="7"/>
      <c r="D25" s="7"/>
      <c r="E25" s="7"/>
      <c r="F25" s="7"/>
      <c r="G25" s="7"/>
      <c r="H25" s="15">
        <f t="shared" si="0"/>
        <v>0</v>
      </c>
    </row>
    <row r="26" spans="1:8" x14ac:dyDescent="0.25">
      <c r="A26" s="7"/>
      <c r="B26" s="7"/>
      <c r="C26" s="7"/>
      <c r="D26" s="7"/>
      <c r="E26" s="7"/>
      <c r="F26" s="7"/>
      <c r="G26" s="7"/>
      <c r="H26" s="15">
        <f t="shared" si="0"/>
        <v>0</v>
      </c>
    </row>
    <row r="27" spans="1:8" x14ac:dyDescent="0.25">
      <c r="A27" s="7"/>
      <c r="B27" s="7"/>
      <c r="C27" s="7"/>
      <c r="D27" s="7"/>
      <c r="E27" s="7"/>
      <c r="F27" s="7"/>
      <c r="G27" s="7"/>
      <c r="H27" s="15">
        <f t="shared" si="0"/>
        <v>0</v>
      </c>
    </row>
    <row r="28" spans="1:8" x14ac:dyDescent="0.25">
      <c r="A28" s="7"/>
      <c r="B28" s="7"/>
      <c r="C28" s="7"/>
      <c r="D28" s="7"/>
      <c r="E28" s="7"/>
      <c r="F28" s="7"/>
      <c r="G28" s="7"/>
      <c r="H28" s="15">
        <f t="shared" si="0"/>
        <v>0</v>
      </c>
    </row>
    <row r="29" spans="1:8" x14ac:dyDescent="0.25">
      <c r="A29" s="7"/>
      <c r="B29" s="7"/>
      <c r="C29" s="7"/>
      <c r="D29" s="7"/>
      <c r="E29" s="7"/>
      <c r="F29" s="7"/>
      <c r="G29" s="7"/>
      <c r="H29" s="15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Legend</vt:lpstr>
      <vt:lpstr>Dataset</vt:lpstr>
      <vt:lpstr>Exp_A_Bidirectional</vt:lpstr>
      <vt:lpstr>Exp_B_Refinement_Ablation</vt:lpstr>
      <vt:lpstr>Exp_C_Masked</vt:lpstr>
      <vt:lpstr>Exp_D_Threshold_Sensitivity</vt:lpstr>
      <vt:lpstr>Exp_E_Reduction_Sensitivity</vt:lpstr>
      <vt:lpstr>Engine_Comparison</vt:lpstr>
      <vt:lpstr>UV_Seam_Detection</vt:lpstr>
      <vt:lpstr>Validity_Checks</vt:lpstr>
      <vt:lpstr>Runtime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Tonda Ramos</cp:lastModifiedBy>
  <dcterms:created xsi:type="dcterms:W3CDTF">2026-09-30T07:32:31Z</dcterms:created>
  <dcterms:modified xsi:type="dcterms:W3CDTF">2026-10-01T09:13:02Z</dcterms:modified>
</cp:coreProperties>
</file>